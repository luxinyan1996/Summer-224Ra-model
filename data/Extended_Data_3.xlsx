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uxin\Desktop\"/>
    </mc:Choice>
  </mc:AlternateContent>
  <xr:revisionPtr revIDLastSave="0" documentId="13_ncr:1_{9B614735-DBF2-4D7B-ACB1-A96B7F7886C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52" i="2" l="1"/>
  <c r="S152" i="2"/>
  <c r="R153" i="2"/>
  <c r="S153" i="2"/>
  <c r="R154" i="2"/>
  <c r="S154" i="2"/>
  <c r="R155" i="2"/>
  <c r="S155" i="2"/>
  <c r="R156" i="2"/>
  <c r="S156" i="2"/>
  <c r="R157" i="2"/>
  <c r="S157" i="2"/>
  <c r="R158" i="2"/>
  <c r="S158" i="2"/>
  <c r="R159" i="2"/>
  <c r="S159" i="2"/>
  <c r="R160" i="2"/>
  <c r="S160" i="2"/>
  <c r="R161" i="2"/>
  <c r="S161" i="2"/>
  <c r="R162" i="2"/>
  <c r="S162" i="2"/>
  <c r="R163" i="2"/>
  <c r="S163" i="2"/>
  <c r="R164" i="2"/>
  <c r="S164" i="2"/>
  <c r="R165" i="2"/>
  <c r="S165" i="2"/>
  <c r="R166" i="2"/>
  <c r="S166" i="2"/>
  <c r="R167" i="2"/>
  <c r="S167" i="2"/>
  <c r="R168" i="2"/>
  <c r="S168" i="2"/>
  <c r="R169" i="2"/>
  <c r="S169" i="2"/>
  <c r="R170" i="2"/>
  <c r="S170" i="2"/>
  <c r="R171" i="2"/>
  <c r="S171" i="2"/>
  <c r="R172" i="2"/>
  <c r="S172" i="2"/>
  <c r="R173" i="2"/>
  <c r="S173" i="2"/>
  <c r="R174" i="2"/>
  <c r="S174" i="2"/>
  <c r="R175" i="2"/>
  <c r="S175" i="2"/>
  <c r="R176" i="2"/>
  <c r="S176" i="2"/>
  <c r="R177" i="2"/>
  <c r="S177" i="2"/>
  <c r="R178" i="2"/>
  <c r="S178" i="2"/>
  <c r="R179" i="2"/>
  <c r="S179" i="2"/>
  <c r="R180" i="2"/>
  <c r="S180" i="2"/>
  <c r="R181" i="2"/>
  <c r="S181" i="2"/>
  <c r="R182" i="2"/>
  <c r="S182" i="2"/>
  <c r="R183" i="2"/>
  <c r="S183" i="2"/>
  <c r="R184" i="2"/>
  <c r="S184" i="2"/>
  <c r="R185" i="2"/>
  <c r="S185" i="2"/>
  <c r="R186" i="2"/>
  <c r="S186" i="2"/>
  <c r="R187" i="2"/>
  <c r="S187" i="2"/>
  <c r="R188" i="2"/>
  <c r="S188" i="2"/>
  <c r="R189" i="2"/>
  <c r="S189" i="2"/>
  <c r="R190" i="2"/>
  <c r="S190" i="2"/>
  <c r="R191" i="2"/>
  <c r="S191" i="2"/>
  <c r="R192" i="2"/>
  <c r="S192" i="2"/>
  <c r="R193" i="2"/>
  <c r="S193" i="2"/>
  <c r="R194" i="2"/>
  <c r="S194" i="2"/>
  <c r="R195" i="2"/>
  <c r="S195" i="2"/>
  <c r="R196" i="2"/>
  <c r="S196" i="2"/>
  <c r="R197" i="2"/>
  <c r="S197" i="2"/>
  <c r="R198" i="2"/>
  <c r="S198" i="2"/>
  <c r="R199" i="2"/>
  <c r="S199" i="2"/>
  <c r="R200" i="2"/>
  <c r="S200" i="2"/>
  <c r="R201" i="2"/>
  <c r="S201" i="2"/>
  <c r="R202" i="2"/>
  <c r="S202" i="2"/>
  <c r="R203" i="2"/>
  <c r="S203" i="2"/>
  <c r="R204" i="2"/>
  <c r="S204" i="2"/>
  <c r="R205" i="2"/>
  <c r="S205" i="2"/>
  <c r="R206" i="2"/>
  <c r="S206" i="2"/>
  <c r="R207" i="2"/>
  <c r="S207" i="2"/>
  <c r="R208" i="2"/>
  <c r="S208" i="2"/>
  <c r="R209" i="2"/>
  <c r="S209" i="2"/>
  <c r="R210" i="2"/>
  <c r="S210" i="2"/>
  <c r="R211" i="2"/>
  <c r="S211" i="2"/>
  <c r="R212" i="2"/>
  <c r="S212" i="2"/>
  <c r="R213" i="2"/>
  <c r="S213" i="2"/>
  <c r="R214" i="2"/>
  <c r="S214" i="2"/>
  <c r="R215" i="2"/>
  <c r="S215" i="2"/>
  <c r="R216" i="2"/>
  <c r="S216" i="2"/>
  <c r="R217" i="2"/>
  <c r="S217" i="2"/>
  <c r="R218" i="2"/>
  <c r="S218" i="2"/>
  <c r="R219" i="2"/>
  <c r="S219" i="2"/>
  <c r="R220" i="2"/>
  <c r="S220" i="2"/>
  <c r="R221" i="2"/>
  <c r="S221" i="2"/>
  <c r="R222" i="2"/>
  <c r="S222" i="2"/>
  <c r="R223" i="2"/>
  <c r="S223" i="2"/>
  <c r="R224" i="2"/>
  <c r="S224" i="2"/>
  <c r="R225" i="2"/>
  <c r="S225" i="2"/>
  <c r="S151" i="2"/>
  <c r="R151" i="2"/>
  <c r="R40" i="2"/>
  <c r="S40" i="2"/>
  <c r="R41" i="2"/>
  <c r="S41" i="2"/>
  <c r="R42" i="2"/>
  <c r="S42" i="2"/>
  <c r="R43" i="2"/>
  <c r="S43" i="2"/>
  <c r="R44" i="2"/>
  <c r="S44" i="2"/>
  <c r="R45" i="2"/>
  <c r="S45" i="2"/>
  <c r="R46" i="2"/>
  <c r="S46" i="2"/>
  <c r="R47" i="2"/>
  <c r="S47" i="2"/>
  <c r="R48" i="2"/>
  <c r="S48" i="2"/>
  <c r="R49" i="2"/>
  <c r="S49" i="2"/>
  <c r="R50" i="2"/>
  <c r="S50" i="2"/>
  <c r="R51" i="2"/>
  <c r="S51" i="2"/>
  <c r="R52" i="2"/>
  <c r="S52" i="2"/>
  <c r="R53" i="2"/>
  <c r="S53" i="2"/>
  <c r="R54" i="2"/>
  <c r="S54" i="2"/>
  <c r="R55" i="2"/>
  <c r="S55" i="2"/>
  <c r="R56" i="2"/>
  <c r="S56" i="2"/>
  <c r="R57" i="2"/>
  <c r="S57" i="2"/>
  <c r="R58" i="2"/>
  <c r="S58" i="2"/>
  <c r="R59" i="2"/>
  <c r="S59" i="2"/>
  <c r="R60" i="2"/>
  <c r="S60" i="2"/>
  <c r="R61" i="2"/>
  <c r="S61" i="2"/>
  <c r="R62" i="2"/>
  <c r="S62" i="2"/>
  <c r="R63" i="2"/>
  <c r="S63" i="2"/>
  <c r="R64" i="2"/>
  <c r="S64" i="2"/>
  <c r="R65" i="2"/>
  <c r="S65" i="2"/>
  <c r="R66" i="2"/>
  <c r="S66" i="2"/>
  <c r="R67" i="2"/>
  <c r="S67" i="2"/>
  <c r="R68" i="2"/>
  <c r="S68" i="2"/>
  <c r="R69" i="2"/>
  <c r="S69" i="2"/>
  <c r="R70" i="2"/>
  <c r="S70" i="2"/>
  <c r="R71" i="2"/>
  <c r="S71" i="2"/>
  <c r="R72" i="2"/>
  <c r="S72" i="2"/>
  <c r="R73" i="2"/>
  <c r="S73" i="2"/>
  <c r="R74" i="2"/>
  <c r="S74" i="2"/>
  <c r="R75" i="2"/>
  <c r="S75" i="2"/>
  <c r="R76" i="2"/>
  <c r="S76" i="2"/>
  <c r="R77" i="2"/>
  <c r="S77" i="2"/>
  <c r="R78" i="2"/>
  <c r="S78" i="2"/>
  <c r="R79" i="2"/>
  <c r="S79" i="2"/>
  <c r="R80" i="2"/>
  <c r="S80" i="2"/>
  <c r="R81" i="2"/>
  <c r="S81" i="2"/>
  <c r="R82" i="2"/>
  <c r="S82" i="2"/>
  <c r="R83" i="2"/>
  <c r="S83" i="2"/>
  <c r="R84" i="2"/>
  <c r="S84" i="2"/>
  <c r="R85" i="2"/>
  <c r="S85" i="2"/>
  <c r="R86" i="2"/>
  <c r="S86" i="2"/>
  <c r="R87" i="2"/>
  <c r="S87" i="2"/>
  <c r="R88" i="2"/>
  <c r="S88" i="2"/>
  <c r="R89" i="2"/>
  <c r="S89" i="2"/>
  <c r="R90" i="2"/>
  <c r="S90" i="2"/>
  <c r="R91" i="2"/>
  <c r="S91" i="2"/>
  <c r="R92" i="2"/>
  <c r="S92" i="2"/>
  <c r="R93" i="2"/>
  <c r="S93" i="2"/>
  <c r="R94" i="2"/>
  <c r="S94" i="2"/>
  <c r="R95" i="2"/>
  <c r="S95" i="2"/>
  <c r="R96" i="2"/>
  <c r="S96" i="2"/>
  <c r="R97" i="2"/>
  <c r="S97" i="2"/>
  <c r="R98" i="2"/>
  <c r="S98" i="2"/>
  <c r="R99" i="2"/>
  <c r="S99" i="2"/>
  <c r="R100" i="2"/>
  <c r="S100" i="2"/>
  <c r="R101" i="2"/>
  <c r="S101" i="2"/>
  <c r="R102" i="2"/>
  <c r="S102" i="2"/>
  <c r="R103" i="2"/>
  <c r="S103" i="2"/>
  <c r="R104" i="2"/>
  <c r="S104" i="2"/>
  <c r="R105" i="2"/>
  <c r="S105" i="2"/>
  <c r="R106" i="2"/>
  <c r="S106" i="2"/>
  <c r="R107" i="2"/>
  <c r="S107" i="2"/>
  <c r="R108" i="2"/>
  <c r="S108" i="2"/>
  <c r="R109" i="2"/>
  <c r="S109" i="2"/>
  <c r="R110" i="2"/>
  <c r="S110" i="2"/>
  <c r="R111" i="2"/>
  <c r="S111" i="2"/>
  <c r="R112" i="2"/>
  <c r="S112" i="2"/>
  <c r="R113" i="2"/>
  <c r="S113" i="2"/>
  <c r="S39" i="2"/>
  <c r="R39" i="2"/>
  <c r="O40" i="2"/>
  <c r="P40" i="2"/>
  <c r="O41" i="2"/>
  <c r="P41" i="2"/>
  <c r="O42" i="2"/>
  <c r="P42" i="2"/>
  <c r="O43" i="2"/>
  <c r="P43" i="2"/>
  <c r="O44" i="2"/>
  <c r="P44" i="2"/>
  <c r="O45" i="2"/>
  <c r="P45" i="2"/>
  <c r="O46" i="2"/>
  <c r="P46" i="2"/>
  <c r="O47" i="2"/>
  <c r="P47" i="2"/>
  <c r="O48" i="2"/>
  <c r="P48" i="2"/>
  <c r="O49" i="2"/>
  <c r="P49" i="2"/>
  <c r="O50" i="2"/>
  <c r="P50" i="2"/>
  <c r="O51" i="2"/>
  <c r="P51" i="2"/>
  <c r="O52" i="2"/>
  <c r="P52" i="2"/>
  <c r="O53" i="2"/>
  <c r="P53" i="2"/>
  <c r="O54" i="2"/>
  <c r="P54" i="2"/>
  <c r="O55" i="2"/>
  <c r="P55" i="2"/>
  <c r="O56" i="2"/>
  <c r="P56" i="2"/>
  <c r="O57" i="2"/>
  <c r="P57" i="2"/>
  <c r="O58" i="2"/>
  <c r="P58" i="2"/>
  <c r="O59" i="2"/>
  <c r="P59" i="2"/>
  <c r="O60" i="2"/>
  <c r="P60" i="2"/>
  <c r="O61" i="2"/>
  <c r="P61" i="2"/>
  <c r="O62" i="2"/>
  <c r="P62" i="2"/>
  <c r="O63" i="2"/>
  <c r="P63" i="2"/>
  <c r="O64" i="2"/>
  <c r="P64" i="2"/>
  <c r="O65" i="2"/>
  <c r="P65" i="2"/>
  <c r="O66" i="2"/>
  <c r="P66" i="2"/>
  <c r="O67" i="2"/>
  <c r="P67" i="2"/>
  <c r="O68" i="2"/>
  <c r="P68" i="2"/>
  <c r="O69" i="2"/>
  <c r="P69" i="2"/>
  <c r="O70" i="2"/>
  <c r="P70" i="2"/>
  <c r="O71" i="2"/>
  <c r="P71" i="2"/>
  <c r="O72" i="2"/>
  <c r="P72" i="2"/>
  <c r="O73" i="2"/>
  <c r="P73" i="2"/>
  <c r="O74" i="2"/>
  <c r="P74" i="2"/>
  <c r="O75" i="2"/>
  <c r="P75" i="2"/>
  <c r="O76" i="2"/>
  <c r="P76" i="2"/>
  <c r="O77" i="2"/>
  <c r="P77" i="2"/>
  <c r="O78" i="2"/>
  <c r="P78" i="2"/>
  <c r="O79" i="2"/>
  <c r="P79" i="2"/>
  <c r="O80" i="2"/>
  <c r="P80" i="2"/>
  <c r="O81" i="2"/>
  <c r="P81" i="2"/>
  <c r="O82" i="2"/>
  <c r="P82" i="2"/>
  <c r="O83" i="2"/>
  <c r="P83" i="2"/>
  <c r="O84" i="2"/>
  <c r="P84" i="2"/>
  <c r="O85" i="2"/>
  <c r="P85" i="2"/>
  <c r="O86" i="2"/>
  <c r="P86" i="2"/>
  <c r="O87" i="2"/>
  <c r="P87" i="2"/>
  <c r="O88" i="2"/>
  <c r="P88" i="2"/>
  <c r="O89" i="2"/>
  <c r="P89" i="2"/>
  <c r="O90" i="2"/>
  <c r="P90" i="2"/>
  <c r="O91" i="2"/>
  <c r="P91" i="2"/>
  <c r="O92" i="2"/>
  <c r="P92" i="2"/>
  <c r="O93" i="2"/>
  <c r="P93" i="2"/>
  <c r="O94" i="2"/>
  <c r="P94" i="2"/>
  <c r="O95" i="2"/>
  <c r="P95" i="2"/>
  <c r="O96" i="2"/>
  <c r="P96" i="2"/>
  <c r="O97" i="2"/>
  <c r="P97" i="2"/>
  <c r="O98" i="2"/>
  <c r="P98" i="2"/>
  <c r="O99" i="2"/>
  <c r="P99" i="2"/>
  <c r="O100" i="2"/>
  <c r="P100" i="2"/>
  <c r="O101" i="2"/>
  <c r="P101" i="2"/>
  <c r="O102" i="2"/>
  <c r="P102" i="2"/>
  <c r="O103" i="2"/>
  <c r="P103" i="2"/>
  <c r="O104" i="2"/>
  <c r="P104" i="2"/>
  <c r="O105" i="2"/>
  <c r="P105" i="2"/>
  <c r="O106" i="2"/>
  <c r="P106" i="2"/>
  <c r="O107" i="2"/>
  <c r="P107" i="2"/>
  <c r="O108" i="2"/>
  <c r="P108" i="2"/>
  <c r="O109" i="2"/>
  <c r="P109" i="2"/>
  <c r="O110" i="2"/>
  <c r="P110" i="2"/>
  <c r="O111" i="2"/>
  <c r="P111" i="2"/>
  <c r="O112" i="2"/>
  <c r="P112" i="2"/>
  <c r="O113" i="2"/>
  <c r="P113" i="2"/>
  <c r="O151" i="2"/>
  <c r="P151" i="2"/>
  <c r="O152" i="2"/>
  <c r="P152" i="2"/>
  <c r="O153" i="2"/>
  <c r="P153" i="2"/>
  <c r="O154" i="2"/>
  <c r="P154" i="2"/>
  <c r="O155" i="2"/>
  <c r="P155" i="2"/>
  <c r="O156" i="2"/>
  <c r="P156" i="2"/>
  <c r="O157" i="2"/>
  <c r="P157" i="2"/>
  <c r="O158" i="2"/>
  <c r="P158" i="2"/>
  <c r="O159" i="2"/>
  <c r="P159" i="2"/>
  <c r="O160" i="2"/>
  <c r="P160" i="2"/>
  <c r="O161" i="2"/>
  <c r="P161" i="2"/>
  <c r="O162" i="2"/>
  <c r="P162" i="2"/>
  <c r="O163" i="2"/>
  <c r="P163" i="2"/>
  <c r="O164" i="2"/>
  <c r="P164" i="2"/>
  <c r="O165" i="2"/>
  <c r="P165" i="2"/>
  <c r="O166" i="2"/>
  <c r="P166" i="2"/>
  <c r="O167" i="2"/>
  <c r="P167" i="2"/>
  <c r="O168" i="2"/>
  <c r="P168" i="2"/>
  <c r="O169" i="2"/>
  <c r="P169" i="2"/>
  <c r="O170" i="2"/>
  <c r="P170" i="2"/>
  <c r="O171" i="2"/>
  <c r="P171" i="2"/>
  <c r="O172" i="2"/>
  <c r="P172" i="2"/>
  <c r="O173" i="2"/>
  <c r="P173" i="2"/>
  <c r="O174" i="2"/>
  <c r="P174" i="2"/>
  <c r="O175" i="2"/>
  <c r="P175" i="2"/>
  <c r="O176" i="2"/>
  <c r="P176" i="2"/>
  <c r="O177" i="2"/>
  <c r="P177" i="2"/>
  <c r="O178" i="2"/>
  <c r="P178" i="2"/>
  <c r="O179" i="2"/>
  <c r="P179" i="2"/>
  <c r="O180" i="2"/>
  <c r="P180" i="2"/>
  <c r="O181" i="2"/>
  <c r="P181" i="2"/>
  <c r="O182" i="2"/>
  <c r="P182" i="2"/>
  <c r="O183" i="2"/>
  <c r="P183" i="2"/>
  <c r="O184" i="2"/>
  <c r="P184" i="2"/>
  <c r="O185" i="2"/>
  <c r="P185" i="2"/>
  <c r="O186" i="2"/>
  <c r="P186" i="2"/>
  <c r="O187" i="2"/>
  <c r="P187" i="2"/>
  <c r="O188" i="2"/>
  <c r="P188" i="2"/>
  <c r="O189" i="2"/>
  <c r="P189" i="2"/>
  <c r="O190" i="2"/>
  <c r="P190" i="2"/>
  <c r="O191" i="2"/>
  <c r="P191" i="2"/>
  <c r="O192" i="2"/>
  <c r="P192" i="2"/>
  <c r="O193" i="2"/>
  <c r="P193" i="2"/>
  <c r="O194" i="2"/>
  <c r="P194" i="2"/>
  <c r="O195" i="2"/>
  <c r="P195" i="2"/>
  <c r="O196" i="2"/>
  <c r="P196" i="2"/>
  <c r="O197" i="2"/>
  <c r="P197" i="2"/>
  <c r="O198" i="2"/>
  <c r="P198" i="2"/>
  <c r="O199" i="2"/>
  <c r="P199" i="2"/>
  <c r="O200" i="2"/>
  <c r="P200" i="2"/>
  <c r="O201" i="2"/>
  <c r="P201" i="2"/>
  <c r="O202" i="2"/>
  <c r="P202" i="2"/>
  <c r="O203" i="2"/>
  <c r="P203" i="2"/>
  <c r="O204" i="2"/>
  <c r="P204" i="2"/>
  <c r="O205" i="2"/>
  <c r="P205" i="2"/>
  <c r="O206" i="2"/>
  <c r="P206" i="2"/>
  <c r="O207" i="2"/>
  <c r="P207" i="2"/>
  <c r="O208" i="2"/>
  <c r="P208" i="2"/>
  <c r="O209" i="2"/>
  <c r="P209" i="2"/>
  <c r="O210" i="2"/>
  <c r="P210" i="2"/>
  <c r="O211" i="2"/>
  <c r="P211" i="2"/>
  <c r="O212" i="2"/>
  <c r="P212" i="2"/>
  <c r="O213" i="2"/>
  <c r="P213" i="2"/>
  <c r="O214" i="2"/>
  <c r="P214" i="2"/>
  <c r="O215" i="2"/>
  <c r="P215" i="2"/>
  <c r="O216" i="2"/>
  <c r="P216" i="2"/>
  <c r="O217" i="2"/>
  <c r="P217" i="2"/>
  <c r="O218" i="2"/>
  <c r="P218" i="2"/>
  <c r="O219" i="2"/>
  <c r="P219" i="2"/>
  <c r="O220" i="2"/>
  <c r="P220" i="2"/>
  <c r="O221" i="2"/>
  <c r="P221" i="2"/>
  <c r="O222" i="2"/>
  <c r="P222" i="2"/>
  <c r="O223" i="2"/>
  <c r="P223" i="2"/>
  <c r="O224" i="2"/>
  <c r="P224" i="2"/>
  <c r="O225" i="2"/>
  <c r="P225" i="2"/>
  <c r="P39" i="2"/>
  <c r="O39" i="2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39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151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40" i="1"/>
  <c r="Q39" i="1"/>
  <c r="O225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151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39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151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39" i="1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" i="1"/>
</calcChain>
</file>

<file path=xl/sharedStrings.xml><?xml version="1.0" encoding="utf-8"?>
<sst xmlns="http://schemas.openxmlformats.org/spreadsheetml/2006/main" count="485" uniqueCount="29">
  <si>
    <t>scenario</t>
  </si>
  <si>
    <t>year</t>
  </si>
  <si>
    <t>SSP126</t>
  </si>
  <si>
    <t>SSP585</t>
  </si>
  <si>
    <r>
      <t>A_max (10</t>
    </r>
    <r>
      <rPr>
        <vertAlign val="superscript"/>
        <sz val="11"/>
        <color theme="1"/>
        <rFont val="等线"/>
        <family val="3"/>
        <charset val="134"/>
        <scheme val="minor"/>
      </rPr>
      <t>6</t>
    </r>
    <r>
      <rPr>
        <sz val="11"/>
        <color theme="1"/>
        <rFont val="等线"/>
        <family val="2"/>
        <scheme val="minor"/>
      </rPr>
      <t xml:space="preserve"> km</t>
    </r>
    <r>
      <rPr>
        <vertAlign val="superscript"/>
        <sz val="11"/>
        <color theme="1"/>
        <rFont val="等线"/>
        <family val="3"/>
        <charset val="134"/>
        <scheme val="minor"/>
      </rPr>
      <t>-2</t>
    </r>
    <r>
      <rPr>
        <sz val="11"/>
        <color theme="1"/>
        <rFont val="等线"/>
        <family val="2"/>
        <scheme val="minor"/>
      </rPr>
      <t>)</t>
    </r>
    <phoneticPr fontId="1" type="noConversion"/>
  </si>
  <si>
    <r>
      <t>A_min  (10</t>
    </r>
    <r>
      <rPr>
        <vertAlign val="superscript"/>
        <sz val="11"/>
        <color theme="1"/>
        <rFont val="等线"/>
        <family val="3"/>
        <charset val="134"/>
        <scheme val="minor"/>
      </rPr>
      <t>6</t>
    </r>
    <r>
      <rPr>
        <sz val="11"/>
        <color theme="1"/>
        <rFont val="等线"/>
        <family val="2"/>
        <scheme val="minor"/>
      </rPr>
      <t xml:space="preserve"> km</t>
    </r>
    <r>
      <rPr>
        <vertAlign val="superscript"/>
        <sz val="11"/>
        <color theme="1"/>
        <rFont val="等线"/>
        <family val="3"/>
        <charset val="134"/>
        <scheme val="minor"/>
      </rPr>
      <t>-2</t>
    </r>
    <r>
      <rPr>
        <sz val="11"/>
        <color theme="1"/>
        <rFont val="等线"/>
        <family val="2"/>
        <scheme val="minor"/>
      </rPr>
      <t>)</t>
    </r>
    <phoneticPr fontId="1" type="noConversion"/>
  </si>
  <si>
    <r>
      <t>A_melt(10</t>
    </r>
    <r>
      <rPr>
        <vertAlign val="superscript"/>
        <sz val="11"/>
        <color theme="1"/>
        <rFont val="等线"/>
        <family val="3"/>
        <charset val="134"/>
        <scheme val="minor"/>
      </rPr>
      <t>6</t>
    </r>
    <r>
      <rPr>
        <sz val="11"/>
        <color theme="1"/>
        <rFont val="等线"/>
        <family val="2"/>
        <scheme val="minor"/>
      </rPr>
      <t xml:space="preserve"> km</t>
    </r>
    <r>
      <rPr>
        <vertAlign val="superscript"/>
        <sz val="11"/>
        <color theme="1"/>
        <rFont val="等线"/>
        <family val="3"/>
        <charset val="134"/>
        <scheme val="minor"/>
      </rPr>
      <t>-2</t>
    </r>
    <r>
      <rPr>
        <sz val="11"/>
        <color theme="1"/>
        <rFont val="等线"/>
        <family val="2"/>
        <scheme val="minor"/>
      </rPr>
      <t>)</t>
    </r>
    <phoneticPr fontId="1" type="noConversion"/>
  </si>
  <si>
    <r>
      <rPr>
        <vertAlign val="superscript"/>
        <sz val="11"/>
        <color theme="1"/>
        <rFont val="等线"/>
        <family val="3"/>
        <charset val="134"/>
        <scheme val="minor"/>
      </rPr>
      <t>228</t>
    </r>
    <r>
      <rPr>
        <sz val="11"/>
        <color theme="1"/>
        <rFont val="等线"/>
        <family val="2"/>
        <scheme val="minor"/>
      </rPr>
      <t>Ra (atoms m</t>
    </r>
    <r>
      <rPr>
        <vertAlign val="superscript"/>
        <sz val="11"/>
        <color theme="1"/>
        <rFont val="等线"/>
        <family val="3"/>
        <charset val="134"/>
        <scheme val="minor"/>
      </rPr>
      <t>-2</t>
    </r>
    <r>
      <rPr>
        <sz val="11"/>
        <color theme="1"/>
        <rFont val="等线"/>
        <family val="3"/>
        <charset val="134"/>
        <scheme val="minor"/>
      </rPr>
      <t>)</t>
    </r>
    <phoneticPr fontId="1" type="noConversion"/>
  </si>
  <si>
    <t>tmax (DOY)</t>
    <phoneticPr fontId="1" type="noConversion"/>
  </si>
  <si>
    <t>tmin (DOY)</t>
    <phoneticPr fontId="1" type="noConversion"/>
  </si>
  <si>
    <t>freeze_onset (DOY)</t>
    <phoneticPr fontId="1" type="noConversion"/>
  </si>
  <si>
    <r>
      <rPr>
        <vertAlign val="superscript"/>
        <sz val="11"/>
        <color theme="1"/>
        <rFont val="等线"/>
        <family val="3"/>
        <charset val="134"/>
        <scheme val="minor"/>
      </rPr>
      <t>228</t>
    </r>
    <r>
      <rPr>
        <sz val="11"/>
        <color theme="1"/>
        <rFont val="等线"/>
        <family val="2"/>
        <scheme val="minor"/>
      </rPr>
      <t>Ra-1.5fold (atoms m</t>
    </r>
    <r>
      <rPr>
        <vertAlign val="superscript"/>
        <sz val="11"/>
        <color theme="1"/>
        <rFont val="等线"/>
        <family val="3"/>
        <charset val="134"/>
        <scheme val="minor"/>
      </rPr>
      <t>-2</t>
    </r>
    <r>
      <rPr>
        <sz val="11"/>
        <color theme="1"/>
        <rFont val="等线"/>
        <family val="3"/>
        <charset val="134"/>
        <scheme val="minor"/>
      </rPr>
      <t>)</t>
    </r>
    <phoneticPr fontId="1" type="noConversion"/>
  </si>
  <si>
    <r>
      <rPr>
        <vertAlign val="superscript"/>
        <sz val="11"/>
        <color theme="1"/>
        <rFont val="等线"/>
        <family val="3"/>
        <charset val="134"/>
        <scheme val="minor"/>
      </rPr>
      <t>228</t>
    </r>
    <r>
      <rPr>
        <sz val="11"/>
        <color theme="1"/>
        <rFont val="等线"/>
        <family val="2"/>
        <scheme val="minor"/>
      </rPr>
      <t>Ra-2fold (atoms m</t>
    </r>
    <r>
      <rPr>
        <vertAlign val="superscript"/>
        <sz val="11"/>
        <color theme="1"/>
        <rFont val="等线"/>
        <family val="3"/>
        <charset val="134"/>
        <scheme val="minor"/>
      </rPr>
      <t>-2</t>
    </r>
    <r>
      <rPr>
        <sz val="11"/>
        <color theme="1"/>
        <rFont val="等线"/>
        <family val="3"/>
        <charset val="134"/>
        <scheme val="minor"/>
      </rPr>
      <t>)</t>
    </r>
    <phoneticPr fontId="1" type="noConversion"/>
  </si>
  <si>
    <t>Year</t>
    <phoneticPr fontId="1" type="noConversion"/>
  </si>
  <si>
    <t>melt_lower</t>
  </si>
  <si>
    <t>melt_upper</t>
  </si>
  <si>
    <t>melt_mean</t>
  </si>
  <si>
    <r>
      <rPr>
        <vertAlign val="superscript"/>
        <sz val="11"/>
        <color theme="1"/>
        <rFont val="等线"/>
        <family val="3"/>
        <charset val="134"/>
        <scheme val="minor"/>
      </rPr>
      <t>224</t>
    </r>
    <r>
      <rPr>
        <sz val="11"/>
        <color theme="1"/>
        <rFont val="等线"/>
        <family val="2"/>
        <scheme val="minor"/>
      </rPr>
      <t>Raw</t>
    </r>
    <phoneticPr fontId="1" type="noConversion"/>
  </si>
  <si>
    <r>
      <rPr>
        <vertAlign val="superscript"/>
        <sz val="11"/>
        <color theme="1"/>
        <rFont val="等线"/>
        <family val="3"/>
        <charset val="134"/>
        <scheme val="minor"/>
      </rPr>
      <t>224</t>
    </r>
    <r>
      <rPr>
        <sz val="11"/>
        <color theme="1"/>
        <rFont val="等线"/>
        <family val="2"/>
        <scheme val="minor"/>
      </rPr>
      <t>Raw_lower</t>
    </r>
    <phoneticPr fontId="1" type="noConversion"/>
  </si>
  <si>
    <r>
      <rPr>
        <vertAlign val="superscript"/>
        <sz val="11"/>
        <color theme="1"/>
        <rFont val="等线"/>
        <family val="3"/>
        <charset val="134"/>
        <scheme val="minor"/>
      </rPr>
      <t>224</t>
    </r>
    <r>
      <rPr>
        <sz val="11"/>
        <color theme="1"/>
        <rFont val="等线"/>
        <family val="2"/>
        <scheme val="minor"/>
      </rPr>
      <t>Raw_upper</t>
    </r>
    <phoneticPr fontId="1" type="noConversion"/>
  </si>
  <si>
    <r>
      <rPr>
        <vertAlign val="superscript"/>
        <sz val="11"/>
        <color theme="1"/>
        <rFont val="等线"/>
        <family val="3"/>
        <charset val="134"/>
        <scheme val="minor"/>
      </rPr>
      <t>224</t>
    </r>
    <r>
      <rPr>
        <sz val="11"/>
        <color theme="1"/>
        <rFont val="等线"/>
        <family val="2"/>
        <scheme val="minor"/>
      </rPr>
      <t>Rai</t>
    </r>
    <phoneticPr fontId="1" type="noConversion"/>
  </si>
  <si>
    <r>
      <rPr>
        <vertAlign val="superscript"/>
        <sz val="11"/>
        <color theme="1"/>
        <rFont val="等线"/>
        <family val="3"/>
        <charset val="134"/>
        <scheme val="minor"/>
      </rPr>
      <t>224</t>
    </r>
    <r>
      <rPr>
        <sz val="11"/>
        <color theme="1"/>
        <rFont val="等线"/>
        <family val="2"/>
        <scheme val="minor"/>
      </rPr>
      <t>Rai_lower</t>
    </r>
    <phoneticPr fontId="1" type="noConversion"/>
  </si>
  <si>
    <r>
      <rPr>
        <vertAlign val="superscript"/>
        <sz val="11"/>
        <color theme="1"/>
        <rFont val="等线"/>
        <family val="3"/>
        <charset val="134"/>
        <scheme val="minor"/>
      </rPr>
      <t>224</t>
    </r>
    <r>
      <rPr>
        <sz val="11"/>
        <color theme="1"/>
        <rFont val="等线"/>
        <family val="2"/>
        <scheme val="minor"/>
      </rPr>
      <t>Rai_upper</t>
    </r>
    <phoneticPr fontId="1" type="noConversion"/>
  </si>
  <si>
    <r>
      <rPr>
        <vertAlign val="superscript"/>
        <sz val="11"/>
        <color theme="1"/>
        <rFont val="等线"/>
        <family val="3"/>
        <charset val="134"/>
        <scheme val="minor"/>
      </rPr>
      <t>224</t>
    </r>
    <r>
      <rPr>
        <sz val="11"/>
        <color theme="1"/>
        <rFont val="等线"/>
        <family val="2"/>
        <scheme val="minor"/>
      </rPr>
      <t>Raw_2fold_upper</t>
    </r>
    <phoneticPr fontId="1" type="noConversion"/>
  </si>
  <si>
    <r>
      <rPr>
        <vertAlign val="superscript"/>
        <sz val="11"/>
        <color theme="1"/>
        <rFont val="等线"/>
        <family val="3"/>
        <charset val="134"/>
        <scheme val="minor"/>
      </rPr>
      <t>224</t>
    </r>
    <r>
      <rPr>
        <sz val="11"/>
        <color theme="1"/>
        <rFont val="等线"/>
        <family val="2"/>
        <scheme val="minor"/>
      </rPr>
      <t>Raw_2fold_lower</t>
    </r>
    <phoneticPr fontId="1" type="noConversion"/>
  </si>
  <si>
    <r>
      <rPr>
        <vertAlign val="superscript"/>
        <sz val="11"/>
        <color theme="1"/>
        <rFont val="等线"/>
        <family val="3"/>
        <charset val="134"/>
        <scheme val="minor"/>
      </rPr>
      <t>224</t>
    </r>
    <r>
      <rPr>
        <sz val="11"/>
        <color theme="1"/>
        <rFont val="等线"/>
        <family val="2"/>
        <scheme val="minor"/>
      </rPr>
      <t>Raw_2fold</t>
    </r>
    <phoneticPr fontId="1" type="noConversion"/>
  </si>
  <si>
    <r>
      <rPr>
        <vertAlign val="superscript"/>
        <sz val="11"/>
        <color theme="1"/>
        <rFont val="等线"/>
        <family val="3"/>
        <charset val="134"/>
        <scheme val="minor"/>
      </rPr>
      <t>224</t>
    </r>
    <r>
      <rPr>
        <sz val="11"/>
        <color theme="1"/>
        <rFont val="等线"/>
        <family val="2"/>
        <scheme val="minor"/>
      </rPr>
      <t>Raw_1.5fold_upper</t>
    </r>
    <phoneticPr fontId="1" type="noConversion"/>
  </si>
  <si>
    <r>
      <rPr>
        <vertAlign val="superscript"/>
        <sz val="11"/>
        <color theme="1"/>
        <rFont val="等线"/>
        <family val="3"/>
        <charset val="134"/>
        <scheme val="minor"/>
      </rPr>
      <t>224</t>
    </r>
    <r>
      <rPr>
        <sz val="11"/>
        <color theme="1"/>
        <rFont val="等线"/>
        <family val="2"/>
        <scheme val="minor"/>
      </rPr>
      <t>Raw_1.5fold_lower</t>
    </r>
    <phoneticPr fontId="1" type="noConversion"/>
  </si>
  <si>
    <r>
      <rPr>
        <vertAlign val="superscript"/>
        <sz val="11"/>
        <color theme="1"/>
        <rFont val="等线"/>
        <family val="3"/>
        <charset val="134"/>
        <scheme val="minor"/>
      </rPr>
      <t>224</t>
    </r>
    <r>
      <rPr>
        <sz val="11"/>
        <color theme="1"/>
        <rFont val="等线"/>
        <family val="2"/>
        <scheme val="minor"/>
      </rPr>
      <t>Raw_1.5fold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</si>
</sst>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176" fontId="0" fillId="0" borderId="0" xfId="0" applyNumberFormat="1"/>
    <xf numFmtId="176" fontId="5" fillId="0" borderId="0" xfId="0" applyNumberFormat="1" applyFont="1" applyAlignment="1">
      <alignment vertical="center"/>
    </xf>
    <xf numFmtId="11" fontId="4" fillId="0" borderId="0" xfId="0" applyNumberFormat="1" applyFont="1" applyAlignment="1">
      <alignment vertical="center"/>
    </xf>
    <xf numFmtId="11" fontId="3" fillId="0" borderId="0" xfId="0" applyNumberFormat="1" applyFont="1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5"/>
  <sheetViews>
    <sheetView tabSelected="1" topLeftCell="A22" workbookViewId="0">
      <selection activeCell="I12" sqref="I12"/>
    </sheetView>
  </sheetViews>
  <sheetFormatPr defaultRowHeight="13.9" x14ac:dyDescent="0.4"/>
  <cols>
    <col min="1" max="2" width="9.06640625" style="1"/>
    <col min="3" max="3" width="19.19921875" style="1" customWidth="1"/>
    <col min="4" max="4" width="19.53125" style="1" customWidth="1"/>
    <col min="5" max="5" width="15.86328125" style="1" customWidth="1"/>
    <col min="6" max="6" width="10.06640625" style="10" bestFit="1" customWidth="1"/>
    <col min="7" max="9" width="10.06640625" style="1" customWidth="1"/>
    <col min="10" max="11" width="9.06640625" style="1"/>
    <col min="12" max="12" width="15.1328125" style="1" customWidth="1"/>
    <col min="13" max="16" width="9.06640625" style="1"/>
  </cols>
  <sheetData>
    <row r="1" spans="1:18" ht="16.149999999999999" x14ac:dyDescent="0.4">
      <c r="A1" s="1" t="s">
        <v>0</v>
      </c>
      <c r="B1" s="1" t="s">
        <v>13</v>
      </c>
      <c r="C1" s="1" t="s">
        <v>4</v>
      </c>
      <c r="D1" s="1" t="s">
        <v>5</v>
      </c>
      <c r="E1" s="1" t="s">
        <v>6</v>
      </c>
      <c r="F1" s="9" t="s">
        <v>7</v>
      </c>
      <c r="G1" s="1" t="s">
        <v>14</v>
      </c>
      <c r="H1" s="1" t="s">
        <v>15</v>
      </c>
      <c r="I1" s="1" t="s">
        <v>16</v>
      </c>
      <c r="J1" s="1" t="s">
        <v>8</v>
      </c>
      <c r="K1" s="1" t="s">
        <v>9</v>
      </c>
      <c r="L1" s="1" t="s">
        <v>10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</row>
    <row r="2" spans="1:18" x14ac:dyDescent="0.4">
      <c r="A2" s="1" t="s">
        <v>2</v>
      </c>
      <c r="B2" s="1">
        <v>1989</v>
      </c>
      <c r="C2" s="1">
        <v>15.766</v>
      </c>
      <c r="D2" s="1">
        <v>6.8879999999999999</v>
      </c>
      <c r="E2" s="1">
        <f>C2-D2</f>
        <v>8.8780000000000001</v>
      </c>
      <c r="F2" s="10">
        <v>436000000</v>
      </c>
      <c r="J2" s="1">
        <v>65</v>
      </c>
      <c r="K2" s="1">
        <v>265</v>
      </c>
      <c r="L2" s="1">
        <v>265</v>
      </c>
      <c r="M2" s="1">
        <v>2.1932364280000001</v>
      </c>
      <c r="P2" s="1">
        <v>2.6016007459999999</v>
      </c>
      <c r="Q2" s="2"/>
    </row>
    <row r="3" spans="1:18" x14ac:dyDescent="0.4">
      <c r="A3" s="1" t="s">
        <v>2</v>
      </c>
      <c r="B3" s="1">
        <v>1990</v>
      </c>
      <c r="C3" s="1">
        <v>16.248999999999999</v>
      </c>
      <c r="D3" s="1">
        <v>6.0110000000000001</v>
      </c>
      <c r="E3" s="1">
        <f t="shared" ref="E3:E66" si="0">C3-D3</f>
        <v>10.238</v>
      </c>
      <c r="F3" s="10">
        <v>436000000</v>
      </c>
      <c r="J3" s="1">
        <v>71</v>
      </c>
      <c r="K3" s="1">
        <v>264</v>
      </c>
      <c r="L3" s="1">
        <v>264</v>
      </c>
      <c r="M3" s="1">
        <v>2.2302969789999998</v>
      </c>
      <c r="P3" s="1">
        <v>2.6052478369999998</v>
      </c>
      <c r="Q3" s="2"/>
    </row>
    <row r="4" spans="1:18" x14ac:dyDescent="0.4">
      <c r="A4" s="1" t="s">
        <v>2</v>
      </c>
      <c r="B4" s="1">
        <v>1991</v>
      </c>
      <c r="C4" s="1">
        <v>15.647</v>
      </c>
      <c r="D4" s="1">
        <v>6.2590000000000003</v>
      </c>
      <c r="E4" s="1">
        <f t="shared" si="0"/>
        <v>9.3879999999999999</v>
      </c>
      <c r="F4" s="10">
        <v>436000000</v>
      </c>
      <c r="J4" s="1">
        <v>56</v>
      </c>
      <c r="K4" s="1">
        <v>259</v>
      </c>
      <c r="L4" s="1">
        <v>259</v>
      </c>
      <c r="M4" s="1">
        <v>2.186969188</v>
      </c>
      <c r="P4" s="1">
        <v>2.6275141899999999</v>
      </c>
      <c r="Q4" s="2"/>
    </row>
    <row r="5" spans="1:18" x14ac:dyDescent="0.4">
      <c r="A5" s="1" t="s">
        <v>2</v>
      </c>
      <c r="B5" s="1">
        <v>1992</v>
      </c>
      <c r="C5" s="1">
        <v>15.576000000000001</v>
      </c>
      <c r="D5" s="1">
        <v>7.1589999999999998</v>
      </c>
      <c r="E5" s="1">
        <f t="shared" si="0"/>
        <v>8.4170000000000016</v>
      </c>
      <c r="F5" s="10">
        <v>436000000</v>
      </c>
      <c r="J5" s="1">
        <v>72</v>
      </c>
      <c r="K5" s="1">
        <v>251</v>
      </c>
      <c r="L5" s="1">
        <v>251</v>
      </c>
      <c r="M5" s="1">
        <v>2.1267693419999998</v>
      </c>
      <c r="P5" s="1">
        <v>2.5805214689999998</v>
      </c>
      <c r="Q5" s="2"/>
    </row>
    <row r="6" spans="1:18" x14ac:dyDescent="0.4">
      <c r="A6" s="1" t="s">
        <v>2</v>
      </c>
      <c r="B6" s="1">
        <v>1993</v>
      </c>
      <c r="C6" s="1">
        <v>16.047999999999998</v>
      </c>
      <c r="D6" s="1">
        <v>6.1609999999999996</v>
      </c>
      <c r="E6" s="1">
        <f t="shared" si="0"/>
        <v>9.8869999999999987</v>
      </c>
      <c r="F6" s="10">
        <v>436000000</v>
      </c>
      <c r="J6" s="1">
        <v>72</v>
      </c>
      <c r="K6" s="1">
        <v>256</v>
      </c>
      <c r="L6" s="1">
        <v>260</v>
      </c>
      <c r="M6" s="1">
        <v>2.211340243</v>
      </c>
      <c r="P6" s="1">
        <v>2.5962722810000001</v>
      </c>
      <c r="Q6" s="2"/>
    </row>
    <row r="7" spans="1:18" x14ac:dyDescent="0.4">
      <c r="A7" s="1" t="s">
        <v>2</v>
      </c>
      <c r="B7" s="1">
        <v>1994</v>
      </c>
      <c r="C7" s="1">
        <v>15.77</v>
      </c>
      <c r="D7" s="1">
        <v>6.9340000000000002</v>
      </c>
      <c r="E7" s="1">
        <f t="shared" si="0"/>
        <v>8.8359999999999985</v>
      </c>
      <c r="F7" s="10">
        <v>436000000</v>
      </c>
      <c r="J7" s="1">
        <v>52</v>
      </c>
      <c r="K7" s="1">
        <v>248</v>
      </c>
      <c r="L7" s="1">
        <v>252</v>
      </c>
      <c r="M7" s="1">
        <v>2.1492655479999998</v>
      </c>
      <c r="P7" s="1">
        <v>2.6040047560000001</v>
      </c>
      <c r="Q7" s="2"/>
    </row>
    <row r="8" spans="1:18" x14ac:dyDescent="0.4">
      <c r="A8" s="1" t="s">
        <v>2</v>
      </c>
      <c r="B8" s="1">
        <v>1995</v>
      </c>
      <c r="C8" s="1">
        <v>15.384</v>
      </c>
      <c r="D8" s="1">
        <v>6.0119999999999996</v>
      </c>
      <c r="E8" s="1">
        <f t="shared" si="0"/>
        <v>9.3719999999999999</v>
      </c>
      <c r="F8" s="10">
        <v>436000000</v>
      </c>
      <c r="J8" s="1">
        <v>90</v>
      </c>
      <c r="K8" s="1">
        <v>247</v>
      </c>
      <c r="L8" s="1">
        <v>271</v>
      </c>
      <c r="M8" s="1">
        <v>2.1827454570000002</v>
      </c>
      <c r="P8" s="1">
        <v>2.5507939369999999</v>
      </c>
      <c r="Q8" s="2"/>
    </row>
    <row r="9" spans="1:18" x14ac:dyDescent="0.4">
      <c r="A9" s="1" t="s">
        <v>2</v>
      </c>
      <c r="B9" s="1">
        <v>1996</v>
      </c>
      <c r="C9" s="1">
        <v>15.484</v>
      </c>
      <c r="D9" s="1">
        <v>7.1470000000000002</v>
      </c>
      <c r="E9" s="1">
        <f t="shared" si="0"/>
        <v>8.3369999999999997</v>
      </c>
      <c r="F9" s="10">
        <v>436000000</v>
      </c>
      <c r="J9" s="1">
        <v>52</v>
      </c>
      <c r="K9" s="1">
        <v>254</v>
      </c>
      <c r="L9" s="1">
        <v>254</v>
      </c>
      <c r="M9" s="1">
        <v>2.1079391599999999</v>
      </c>
      <c r="P9" s="1">
        <v>2.588692714</v>
      </c>
      <c r="Q9" s="2"/>
    </row>
    <row r="10" spans="1:18" x14ac:dyDescent="0.4">
      <c r="A10" s="1" t="s">
        <v>2</v>
      </c>
      <c r="B10" s="1">
        <v>1997</v>
      </c>
      <c r="C10" s="1">
        <v>15.683999999999999</v>
      </c>
      <c r="D10" s="1">
        <v>6.6020000000000003</v>
      </c>
      <c r="E10" s="1">
        <f t="shared" si="0"/>
        <v>9.081999999999999</v>
      </c>
      <c r="F10" s="10">
        <v>436000000</v>
      </c>
      <c r="J10" s="1">
        <v>79</v>
      </c>
      <c r="K10" s="1">
        <v>246</v>
      </c>
      <c r="L10" s="1">
        <v>262</v>
      </c>
      <c r="M10" s="1">
        <v>2.1526674739999998</v>
      </c>
      <c r="P10" s="1">
        <v>2.5470254749999999</v>
      </c>
      <c r="Q10" s="2"/>
    </row>
    <row r="11" spans="1:18" x14ac:dyDescent="0.4">
      <c r="A11" s="1" t="s">
        <v>2</v>
      </c>
      <c r="B11" s="1">
        <v>1998</v>
      </c>
      <c r="C11" s="1">
        <v>16.07</v>
      </c>
      <c r="D11" s="1">
        <v>6.2930000000000001</v>
      </c>
      <c r="E11" s="1">
        <f t="shared" si="0"/>
        <v>9.777000000000001</v>
      </c>
      <c r="F11" s="10">
        <v>436000000</v>
      </c>
      <c r="J11" s="1">
        <v>56</v>
      </c>
      <c r="K11" s="1">
        <v>260</v>
      </c>
      <c r="L11" s="1">
        <v>260</v>
      </c>
      <c r="M11" s="1">
        <v>2.1921763159999998</v>
      </c>
      <c r="P11" s="1">
        <v>2.6080340390000001</v>
      </c>
      <c r="Q11" s="2"/>
    </row>
    <row r="12" spans="1:18" x14ac:dyDescent="0.4">
      <c r="A12" s="1" t="s">
        <v>2</v>
      </c>
      <c r="B12" s="1">
        <v>1999</v>
      </c>
      <c r="C12" s="1">
        <v>15.627000000000001</v>
      </c>
      <c r="D12" s="1">
        <v>5.6760000000000002</v>
      </c>
      <c r="E12" s="1">
        <f t="shared" si="0"/>
        <v>9.9510000000000005</v>
      </c>
      <c r="F12" s="10">
        <v>436000000</v>
      </c>
      <c r="J12" s="1">
        <v>89</v>
      </c>
      <c r="K12" s="1">
        <v>255</v>
      </c>
      <c r="L12" s="1">
        <v>259</v>
      </c>
      <c r="M12" s="1">
        <v>2.2239154540000001</v>
      </c>
      <c r="P12" s="1">
        <v>2.573817805</v>
      </c>
      <c r="Q12" s="2"/>
    </row>
    <row r="13" spans="1:18" x14ac:dyDescent="0.4">
      <c r="A13" s="1" t="s">
        <v>2</v>
      </c>
      <c r="B13" s="1">
        <v>2000</v>
      </c>
      <c r="C13" s="1">
        <v>15.497999999999999</v>
      </c>
      <c r="D13" s="1">
        <v>5.9429999999999996</v>
      </c>
      <c r="E13" s="1">
        <f t="shared" si="0"/>
        <v>9.5549999999999997</v>
      </c>
      <c r="F13" s="10">
        <v>436000000</v>
      </c>
      <c r="J13" s="1">
        <v>63</v>
      </c>
      <c r="K13" s="1">
        <v>255</v>
      </c>
      <c r="L13" s="1">
        <v>257</v>
      </c>
      <c r="M13" s="1">
        <v>2.2008745890000001</v>
      </c>
      <c r="P13" s="1">
        <v>2.6163086330000001</v>
      </c>
      <c r="Q13" s="2"/>
    </row>
    <row r="14" spans="1:18" x14ac:dyDescent="0.4">
      <c r="A14" s="1" t="s">
        <v>2</v>
      </c>
      <c r="B14" s="1">
        <v>2001</v>
      </c>
      <c r="C14" s="1">
        <v>15.742000000000001</v>
      </c>
      <c r="D14" s="1">
        <v>6.5670000000000002</v>
      </c>
      <c r="E14" s="1">
        <f t="shared" si="0"/>
        <v>9.1750000000000007</v>
      </c>
      <c r="F14" s="10">
        <v>436000000</v>
      </c>
      <c r="J14" s="1">
        <v>63</v>
      </c>
      <c r="K14" s="1">
        <v>262</v>
      </c>
      <c r="L14" s="1">
        <v>262</v>
      </c>
      <c r="M14" s="1">
        <v>2.1735770959999998</v>
      </c>
      <c r="P14" s="1">
        <v>2.6248882789999999</v>
      </c>
      <c r="Q14" s="2"/>
    </row>
    <row r="15" spans="1:18" x14ac:dyDescent="0.4">
      <c r="A15" s="1" t="s">
        <v>2</v>
      </c>
      <c r="B15" s="1">
        <v>2002</v>
      </c>
      <c r="C15" s="1">
        <v>15.624000000000001</v>
      </c>
      <c r="D15" s="1">
        <v>5.625</v>
      </c>
      <c r="E15" s="1">
        <f t="shared" si="0"/>
        <v>9.9990000000000006</v>
      </c>
      <c r="F15" s="10">
        <v>436000000</v>
      </c>
      <c r="J15" s="1">
        <v>68</v>
      </c>
      <c r="K15" s="1">
        <v>261</v>
      </c>
      <c r="L15" s="1">
        <v>263</v>
      </c>
      <c r="M15" s="1">
        <v>2.2245227179999998</v>
      </c>
      <c r="P15" s="1">
        <v>2.6157277630000002</v>
      </c>
      <c r="Q15" s="2"/>
    </row>
    <row r="16" spans="1:18" x14ac:dyDescent="0.4">
      <c r="A16" s="1" t="s">
        <v>2</v>
      </c>
      <c r="B16" s="1">
        <v>2003</v>
      </c>
      <c r="C16" s="1">
        <v>15.629</v>
      </c>
      <c r="D16" s="1">
        <v>5.9690000000000003</v>
      </c>
      <c r="E16" s="1">
        <f t="shared" si="0"/>
        <v>9.66</v>
      </c>
      <c r="F16" s="10">
        <v>436000000</v>
      </c>
      <c r="J16" s="1">
        <v>79</v>
      </c>
      <c r="K16" s="1">
        <v>260</v>
      </c>
      <c r="L16" s="1">
        <v>264</v>
      </c>
      <c r="M16" s="1">
        <v>2.210563343</v>
      </c>
      <c r="P16" s="1">
        <v>2.6038703339999998</v>
      </c>
      <c r="Q16" s="2"/>
    </row>
    <row r="17" spans="1:17" x14ac:dyDescent="0.4">
      <c r="A17" s="1" t="s">
        <v>2</v>
      </c>
      <c r="B17" s="1">
        <v>2004</v>
      </c>
      <c r="C17" s="1">
        <v>15.3</v>
      </c>
      <c r="D17" s="1">
        <v>5.77</v>
      </c>
      <c r="E17" s="1">
        <f t="shared" si="0"/>
        <v>9.5300000000000011</v>
      </c>
      <c r="F17" s="10">
        <v>436000000</v>
      </c>
      <c r="J17" s="1">
        <v>70</v>
      </c>
      <c r="K17" s="1">
        <v>262</v>
      </c>
      <c r="L17" s="1">
        <v>264</v>
      </c>
      <c r="M17" s="1">
        <v>2.1989840630000002</v>
      </c>
      <c r="P17" s="1">
        <v>2.6167524969999998</v>
      </c>
      <c r="Q17" s="2"/>
    </row>
    <row r="18" spans="1:17" x14ac:dyDescent="0.4">
      <c r="A18" s="1" t="s">
        <v>2</v>
      </c>
      <c r="B18" s="1">
        <v>2005</v>
      </c>
      <c r="C18" s="1">
        <v>14.993</v>
      </c>
      <c r="D18" s="1">
        <v>5.3140000000000001</v>
      </c>
      <c r="E18" s="1">
        <f t="shared" si="0"/>
        <v>9.6790000000000003</v>
      </c>
      <c r="F18" s="10">
        <v>436000000</v>
      </c>
      <c r="J18" s="1">
        <v>68</v>
      </c>
      <c r="K18" s="1">
        <v>263</v>
      </c>
      <c r="L18" s="1">
        <v>269</v>
      </c>
      <c r="M18" s="1">
        <v>2.2066025260000002</v>
      </c>
      <c r="P18" s="1">
        <v>2.620384504</v>
      </c>
      <c r="Q18" s="2"/>
    </row>
    <row r="19" spans="1:17" x14ac:dyDescent="0.4">
      <c r="A19" s="1" t="s">
        <v>2</v>
      </c>
      <c r="B19" s="1">
        <v>2006</v>
      </c>
      <c r="C19" s="1">
        <v>14.776999999999999</v>
      </c>
      <c r="D19" s="1">
        <v>5.7460000000000004</v>
      </c>
      <c r="E19" s="1">
        <f t="shared" si="0"/>
        <v>9.0309999999999988</v>
      </c>
      <c r="F19" s="10">
        <v>436000000</v>
      </c>
      <c r="J19" s="1">
        <v>70</v>
      </c>
      <c r="K19" s="1">
        <v>257</v>
      </c>
      <c r="L19" s="1">
        <v>267</v>
      </c>
      <c r="M19" s="1">
        <v>2.1637713810000001</v>
      </c>
      <c r="P19" s="1">
        <v>2.5951235010000002</v>
      </c>
      <c r="Q19" s="2"/>
    </row>
    <row r="20" spans="1:17" x14ac:dyDescent="0.4">
      <c r="A20" s="1" t="s">
        <v>2</v>
      </c>
      <c r="B20" s="1">
        <v>2007</v>
      </c>
      <c r="C20" s="1">
        <v>14.842000000000001</v>
      </c>
      <c r="D20" s="1">
        <v>4.1470000000000002</v>
      </c>
      <c r="E20" s="1">
        <f t="shared" si="0"/>
        <v>10.695</v>
      </c>
      <c r="F20" s="10">
        <v>436000000</v>
      </c>
      <c r="J20" s="1">
        <v>69</v>
      </c>
      <c r="K20" s="1">
        <v>257</v>
      </c>
      <c r="L20" s="1">
        <v>291</v>
      </c>
      <c r="M20" s="1">
        <v>2.2461140500000001</v>
      </c>
      <c r="P20" s="1">
        <v>2.6029680819999998</v>
      </c>
      <c r="Q20" s="2"/>
    </row>
    <row r="21" spans="1:17" x14ac:dyDescent="0.4">
      <c r="A21" s="1" t="s">
        <v>2</v>
      </c>
      <c r="B21" s="1">
        <v>2008</v>
      </c>
      <c r="C21" s="1">
        <v>15.353999999999999</v>
      </c>
      <c r="D21" s="1">
        <v>4.548</v>
      </c>
      <c r="E21" s="1">
        <f t="shared" si="0"/>
        <v>10.805999999999999</v>
      </c>
      <c r="F21" s="10">
        <v>436000000</v>
      </c>
      <c r="J21" s="1">
        <v>58</v>
      </c>
      <c r="K21" s="1">
        <v>262</v>
      </c>
      <c r="L21" s="1">
        <v>275</v>
      </c>
      <c r="M21" s="1">
        <v>2.2455697350000001</v>
      </c>
      <c r="P21" s="1">
        <v>2.617755399</v>
      </c>
      <c r="Q21" s="2"/>
    </row>
    <row r="22" spans="1:17" x14ac:dyDescent="0.4">
      <c r="A22" s="1" t="s">
        <v>2</v>
      </c>
      <c r="B22" s="1">
        <v>2009</v>
      </c>
      <c r="C22" s="1">
        <v>15.195</v>
      </c>
      <c r="D22" s="1">
        <v>5.0469999999999997</v>
      </c>
      <c r="E22" s="1">
        <f t="shared" si="0"/>
        <v>10.148</v>
      </c>
      <c r="F22" s="10">
        <v>436000000</v>
      </c>
      <c r="J22" s="1">
        <v>61</v>
      </c>
      <c r="K22" s="1">
        <v>255</v>
      </c>
      <c r="L22" s="1">
        <v>280</v>
      </c>
      <c r="M22" s="1">
        <v>2.2155759449999999</v>
      </c>
      <c r="P22" s="1">
        <v>2.6149579850000002</v>
      </c>
      <c r="Q22" s="2"/>
    </row>
    <row r="23" spans="1:17" x14ac:dyDescent="0.4">
      <c r="A23" s="1" t="s">
        <v>2</v>
      </c>
      <c r="B23" s="1">
        <v>2010</v>
      </c>
      <c r="C23" s="1">
        <v>15.351000000000001</v>
      </c>
      <c r="D23" s="1">
        <v>4.59</v>
      </c>
      <c r="E23" s="1">
        <f t="shared" si="0"/>
        <v>10.761000000000001</v>
      </c>
      <c r="F23" s="10">
        <v>436000000</v>
      </c>
      <c r="J23" s="1">
        <v>90</v>
      </c>
      <c r="K23" s="1">
        <v>262</v>
      </c>
      <c r="L23" s="1">
        <v>278</v>
      </c>
      <c r="M23" s="1">
        <v>2.254690128</v>
      </c>
      <c r="P23" s="1">
        <v>2.5850516099999998</v>
      </c>
      <c r="Q23" s="2"/>
    </row>
    <row r="24" spans="1:17" x14ac:dyDescent="0.4">
      <c r="A24" s="1" t="s">
        <v>2</v>
      </c>
      <c r="B24" s="1">
        <v>2011</v>
      </c>
      <c r="C24" s="1">
        <v>14.704000000000001</v>
      </c>
      <c r="D24" s="1">
        <v>4.3330000000000002</v>
      </c>
      <c r="E24" s="1">
        <f t="shared" si="0"/>
        <v>10.371</v>
      </c>
      <c r="F24" s="10">
        <v>436000000</v>
      </c>
      <c r="J24" s="1">
        <v>66</v>
      </c>
      <c r="K24" s="1">
        <v>251</v>
      </c>
      <c r="L24" s="1">
        <v>283</v>
      </c>
      <c r="M24" s="1">
        <v>2.2345807010000001</v>
      </c>
      <c r="P24" s="1">
        <v>2.605263753</v>
      </c>
      <c r="Q24" s="2"/>
    </row>
    <row r="25" spans="1:17" x14ac:dyDescent="0.4">
      <c r="A25" s="1" t="s">
        <v>2</v>
      </c>
      <c r="B25" s="1">
        <v>2012</v>
      </c>
      <c r="C25" s="1">
        <v>15.307</v>
      </c>
      <c r="D25" s="1">
        <v>3.34</v>
      </c>
      <c r="E25" s="1">
        <f t="shared" si="0"/>
        <v>11.967000000000001</v>
      </c>
      <c r="F25" s="10">
        <v>436000000</v>
      </c>
      <c r="J25" s="1">
        <v>78</v>
      </c>
      <c r="K25" s="1">
        <v>260</v>
      </c>
      <c r="L25" s="1">
        <v>285</v>
      </c>
      <c r="M25" s="1">
        <v>2.2860889160000002</v>
      </c>
      <c r="P25" s="1">
        <v>2.6114749229999998</v>
      </c>
      <c r="Q25" s="2"/>
    </row>
    <row r="26" spans="1:17" x14ac:dyDescent="0.4">
      <c r="A26" s="1" t="s">
        <v>2</v>
      </c>
      <c r="B26" s="1">
        <v>2013</v>
      </c>
      <c r="C26" s="1">
        <v>15.196</v>
      </c>
      <c r="D26" s="1">
        <v>5.04</v>
      </c>
      <c r="E26" s="1">
        <f t="shared" si="0"/>
        <v>10.155999999999999</v>
      </c>
      <c r="F26" s="10">
        <v>436000000</v>
      </c>
      <c r="J26" s="1">
        <v>73</v>
      </c>
      <c r="K26" s="1">
        <v>256</v>
      </c>
      <c r="L26" s="1">
        <v>266</v>
      </c>
      <c r="M26" s="1">
        <v>2.1871174610000002</v>
      </c>
      <c r="P26" s="1">
        <v>2.6092709269999999</v>
      </c>
      <c r="Q26" s="2"/>
    </row>
    <row r="27" spans="1:17" x14ac:dyDescent="0.4">
      <c r="A27" s="1" t="s">
        <v>2</v>
      </c>
      <c r="B27" s="1">
        <v>2014</v>
      </c>
      <c r="C27" s="1">
        <v>15.007</v>
      </c>
      <c r="D27" s="1">
        <v>4.9880000000000004</v>
      </c>
      <c r="E27" s="1">
        <f t="shared" si="0"/>
        <v>10.018999999999998</v>
      </c>
      <c r="F27" s="10">
        <v>436000000</v>
      </c>
      <c r="J27" s="1">
        <v>79</v>
      </c>
      <c r="K27" s="1">
        <v>259</v>
      </c>
      <c r="L27" s="1">
        <v>275</v>
      </c>
      <c r="M27" s="1">
        <v>2.176917043</v>
      </c>
      <c r="P27" s="1">
        <v>2.6105585260000002</v>
      </c>
      <c r="Q27" s="2"/>
    </row>
    <row r="28" spans="1:17" x14ac:dyDescent="0.4">
      <c r="A28" s="1" t="s">
        <v>2</v>
      </c>
      <c r="B28" s="1">
        <v>2015</v>
      </c>
      <c r="C28" s="1">
        <v>14.554</v>
      </c>
      <c r="D28" s="1">
        <v>4.3869999999999996</v>
      </c>
      <c r="E28" s="1">
        <f t="shared" si="0"/>
        <v>10.167000000000002</v>
      </c>
      <c r="F28" s="10">
        <v>436000000</v>
      </c>
      <c r="J28" s="1">
        <v>53</v>
      </c>
      <c r="K28" s="1">
        <v>251</v>
      </c>
      <c r="L28" s="1">
        <v>278</v>
      </c>
      <c r="M28" s="1">
        <v>2.1757264570000001</v>
      </c>
      <c r="P28" s="1">
        <v>2.6187433979999999</v>
      </c>
      <c r="Q28" s="2"/>
    </row>
    <row r="29" spans="1:17" x14ac:dyDescent="0.4">
      <c r="A29" s="1" t="s">
        <v>2</v>
      </c>
      <c r="B29" s="1">
        <v>2016</v>
      </c>
      <c r="C29" s="1">
        <v>14.566000000000001</v>
      </c>
      <c r="D29" s="1">
        <v>4.1449999999999996</v>
      </c>
      <c r="E29" s="1">
        <f t="shared" si="0"/>
        <v>10.421000000000001</v>
      </c>
      <c r="F29" s="10">
        <v>436000000</v>
      </c>
      <c r="J29" s="1">
        <v>82</v>
      </c>
      <c r="K29" s="1">
        <v>251</v>
      </c>
      <c r="L29" s="1">
        <v>287</v>
      </c>
      <c r="M29" s="1">
        <v>2.188035497</v>
      </c>
      <c r="P29" s="1">
        <v>2.570005621</v>
      </c>
      <c r="Q29" s="2"/>
    </row>
    <row r="30" spans="1:17" x14ac:dyDescent="0.4">
      <c r="A30" s="1" t="s">
        <v>2</v>
      </c>
      <c r="B30" s="1">
        <v>2017</v>
      </c>
      <c r="C30" s="1">
        <v>14.449</v>
      </c>
      <c r="D30" s="1">
        <v>4.6349999999999998</v>
      </c>
      <c r="E30" s="1">
        <f t="shared" si="0"/>
        <v>9.8140000000000001</v>
      </c>
      <c r="F30" s="10">
        <v>436000000</v>
      </c>
      <c r="J30" s="1">
        <v>64</v>
      </c>
      <c r="K30" s="1">
        <v>256</v>
      </c>
      <c r="L30" s="1">
        <v>275</v>
      </c>
      <c r="M30" s="1">
        <v>2.1458967809999998</v>
      </c>
      <c r="P30" s="1">
        <v>2.588296567</v>
      </c>
      <c r="Q30" s="2"/>
    </row>
    <row r="31" spans="1:17" x14ac:dyDescent="0.4">
      <c r="A31" s="1" t="s">
        <v>2</v>
      </c>
      <c r="B31" s="1">
        <v>2018</v>
      </c>
      <c r="C31" s="1">
        <v>14.499000000000001</v>
      </c>
      <c r="D31" s="1">
        <v>4.63</v>
      </c>
      <c r="E31" s="1">
        <f t="shared" si="0"/>
        <v>9.8689999999999998</v>
      </c>
      <c r="F31" s="10">
        <v>436000000</v>
      </c>
      <c r="J31" s="1">
        <v>73</v>
      </c>
      <c r="K31" s="1">
        <v>264</v>
      </c>
      <c r="L31" s="1">
        <v>282</v>
      </c>
      <c r="M31" s="1">
        <v>2.1494334789999998</v>
      </c>
      <c r="P31" s="1">
        <v>2.5975446560000002</v>
      </c>
      <c r="Q31" s="2"/>
    </row>
    <row r="32" spans="1:17" x14ac:dyDescent="0.4">
      <c r="A32" s="1" t="s">
        <v>2</v>
      </c>
      <c r="B32" s="1">
        <v>2019</v>
      </c>
      <c r="C32" s="1">
        <v>14.896000000000001</v>
      </c>
      <c r="D32" s="1">
        <v>4.1660000000000004</v>
      </c>
      <c r="E32" s="1">
        <f t="shared" si="0"/>
        <v>10.73</v>
      </c>
      <c r="F32" s="10">
        <v>436000000</v>
      </c>
      <c r="J32" s="1">
        <v>70</v>
      </c>
      <c r="K32" s="1">
        <v>261</v>
      </c>
      <c r="L32" s="1">
        <v>287</v>
      </c>
      <c r="M32" s="1">
        <v>2.1995547719999999</v>
      </c>
      <c r="P32" s="1">
        <v>2.601934193</v>
      </c>
      <c r="Q32" s="2"/>
    </row>
    <row r="33" spans="1:18" x14ac:dyDescent="0.4">
      <c r="A33" s="1" t="s">
        <v>2</v>
      </c>
      <c r="B33" s="1">
        <v>2020</v>
      </c>
      <c r="C33" s="1">
        <v>15.071</v>
      </c>
      <c r="D33" s="1">
        <v>3.7930000000000001</v>
      </c>
      <c r="E33" s="1">
        <f t="shared" si="0"/>
        <v>11.277999999999999</v>
      </c>
      <c r="F33" s="10">
        <v>436000000</v>
      </c>
      <c r="J33" s="1">
        <v>64</v>
      </c>
      <c r="K33" s="1">
        <v>257</v>
      </c>
      <c r="L33" s="1">
        <v>292</v>
      </c>
      <c r="M33" s="1">
        <v>2.2368790750000001</v>
      </c>
      <c r="P33" s="1">
        <v>2.6126507399999999</v>
      </c>
      <c r="Q33" s="2"/>
    </row>
    <row r="34" spans="1:18" x14ac:dyDescent="0.4">
      <c r="A34" s="1" t="s">
        <v>2</v>
      </c>
      <c r="B34" s="1">
        <v>2021</v>
      </c>
      <c r="C34" s="1">
        <v>14.865</v>
      </c>
      <c r="D34" s="1">
        <v>4.7569999999999997</v>
      </c>
      <c r="E34" s="1">
        <f t="shared" si="0"/>
        <v>10.108000000000001</v>
      </c>
      <c r="F34" s="10">
        <v>436000000</v>
      </c>
      <c r="J34" s="1">
        <v>70</v>
      </c>
      <c r="K34" s="1">
        <v>257</v>
      </c>
      <c r="L34" s="1">
        <v>269</v>
      </c>
      <c r="M34" s="1">
        <v>2.169968721</v>
      </c>
      <c r="P34" s="1">
        <v>2.592196173</v>
      </c>
      <c r="Q34" s="2"/>
    </row>
    <row r="35" spans="1:18" x14ac:dyDescent="0.4">
      <c r="A35" s="1" t="s">
        <v>2</v>
      </c>
      <c r="B35" s="1">
        <v>2022</v>
      </c>
      <c r="C35" s="1">
        <v>14.94</v>
      </c>
      <c r="D35" s="1">
        <v>4.6920000000000002</v>
      </c>
      <c r="E35" s="1">
        <f t="shared" si="0"/>
        <v>10.247999999999999</v>
      </c>
      <c r="F35" s="10">
        <v>436000000</v>
      </c>
      <c r="J35" s="1">
        <v>52</v>
      </c>
      <c r="K35" s="1">
        <v>258</v>
      </c>
      <c r="L35" s="1">
        <v>278</v>
      </c>
      <c r="M35" s="1">
        <v>2.1774762700000001</v>
      </c>
      <c r="P35" s="1">
        <v>2.6337754929999999</v>
      </c>
      <c r="Q35" s="2"/>
    </row>
    <row r="36" spans="1:18" x14ac:dyDescent="0.4">
      <c r="A36" s="1" t="s">
        <v>2</v>
      </c>
      <c r="B36" s="1">
        <v>2023</v>
      </c>
      <c r="C36" s="1">
        <v>14.635999999999999</v>
      </c>
      <c r="D36" s="1">
        <v>4.2439999999999998</v>
      </c>
      <c r="E36" s="1">
        <f t="shared" si="0"/>
        <v>10.391999999999999</v>
      </c>
      <c r="F36" s="10">
        <v>436000000</v>
      </c>
      <c r="J36" s="1">
        <v>64</v>
      </c>
      <c r="K36" s="1">
        <v>260</v>
      </c>
      <c r="L36" s="1">
        <v>276</v>
      </c>
      <c r="M36" s="1">
        <v>2.184745763</v>
      </c>
      <c r="P36" s="1">
        <v>2.6147476030000001</v>
      </c>
      <c r="Q36" s="2"/>
    </row>
    <row r="37" spans="1:18" x14ac:dyDescent="0.4">
      <c r="A37" s="1" t="s">
        <v>2</v>
      </c>
      <c r="B37" s="1">
        <v>2024</v>
      </c>
      <c r="C37" s="1">
        <v>15.041</v>
      </c>
      <c r="D37" s="1">
        <v>4.2450000000000001</v>
      </c>
      <c r="E37" s="1">
        <f t="shared" si="0"/>
        <v>10.795999999999999</v>
      </c>
      <c r="F37" s="10">
        <v>436000000</v>
      </c>
      <c r="J37" s="1">
        <v>70</v>
      </c>
      <c r="K37" s="1">
        <v>254</v>
      </c>
      <c r="L37" s="1">
        <v>277</v>
      </c>
      <c r="M37" s="1">
        <v>2.2137178569999998</v>
      </c>
      <c r="P37" s="1">
        <v>2.6044464029999999</v>
      </c>
      <c r="Q37" s="2"/>
    </row>
    <row r="38" spans="1:18" x14ac:dyDescent="0.4">
      <c r="A38" s="1" t="s">
        <v>2</v>
      </c>
      <c r="B38" s="1">
        <v>2025</v>
      </c>
      <c r="C38" s="1">
        <v>14.348000000000001</v>
      </c>
      <c r="D38" s="1">
        <v>4.5430000000000001</v>
      </c>
      <c r="E38" s="1">
        <f t="shared" si="0"/>
        <v>9.8049999999999997</v>
      </c>
      <c r="F38" s="10">
        <v>436000000</v>
      </c>
      <c r="J38" s="1">
        <v>80</v>
      </c>
      <c r="K38" s="1">
        <v>251</v>
      </c>
      <c r="L38" s="1">
        <v>278</v>
      </c>
      <c r="M38" s="1">
        <v>2.1594592389999998</v>
      </c>
      <c r="P38" s="1">
        <v>2.577719138</v>
      </c>
      <c r="Q38" s="2"/>
    </row>
    <row r="39" spans="1:18" x14ac:dyDescent="0.4">
      <c r="A39" s="1" t="s">
        <v>2</v>
      </c>
      <c r="B39" s="1">
        <v>2026</v>
      </c>
      <c r="C39" s="1">
        <v>13.177193490000001</v>
      </c>
      <c r="D39" s="1">
        <v>2.4770139370000002</v>
      </c>
      <c r="E39" s="1">
        <f t="shared" si="0"/>
        <v>10.700179553</v>
      </c>
      <c r="F39" s="10">
        <v>436000000</v>
      </c>
      <c r="G39" s="1">
        <v>9.6636812229999993</v>
      </c>
      <c r="H39" s="1">
        <v>12.274513170000001</v>
      </c>
      <c r="I39" s="1">
        <v>10.9690972</v>
      </c>
      <c r="J39" s="1">
        <v>69</v>
      </c>
      <c r="K39" s="1">
        <v>257</v>
      </c>
      <c r="L39" s="1">
        <v>278</v>
      </c>
      <c r="M39" s="1">
        <v>2.200589259</v>
      </c>
      <c r="N39" s="1">
        <f>M39*G39/I39</f>
        <v>1.9387003974888453</v>
      </c>
      <c r="O39" s="1">
        <f>H39*M39/I39</f>
        <v>2.4624781191068341</v>
      </c>
      <c r="P39" s="1">
        <v>2.600587966</v>
      </c>
      <c r="Q39" s="1">
        <f>P39*G39/I39</f>
        <v>2.2910958520628264</v>
      </c>
      <c r="R39">
        <f>H39*P39/I39</f>
        <v>2.9100800782775917</v>
      </c>
    </row>
    <row r="40" spans="1:18" x14ac:dyDescent="0.4">
      <c r="A40" s="1" t="s">
        <v>2</v>
      </c>
      <c r="B40" s="1">
        <v>2027</v>
      </c>
      <c r="C40" s="1">
        <v>13.095518090000001</v>
      </c>
      <c r="D40" s="1">
        <v>2.405230623</v>
      </c>
      <c r="E40" s="1">
        <f t="shared" si="0"/>
        <v>10.690287467000001</v>
      </c>
      <c r="F40" s="10">
        <v>436000000</v>
      </c>
      <c r="G40" s="1">
        <v>9.2073502909999991</v>
      </c>
      <c r="H40" s="1">
        <v>12.33056227</v>
      </c>
      <c r="I40" s="1">
        <v>10.768956279999999</v>
      </c>
      <c r="J40" s="1">
        <v>69</v>
      </c>
      <c r="K40" s="1">
        <v>257</v>
      </c>
      <c r="L40" s="1">
        <v>279</v>
      </c>
      <c r="M40" s="1">
        <v>2.206333506</v>
      </c>
      <c r="N40" s="1">
        <f t="shared" ref="N40:N103" si="1">M40*G40/I40</f>
        <v>1.8863931582896303</v>
      </c>
      <c r="O40" s="1">
        <f t="shared" ref="O40:O103" si="2">H40*M40/I40</f>
        <v>2.5262738539152485</v>
      </c>
      <c r="P40" s="1">
        <v>2.6089190590000002</v>
      </c>
      <c r="Q40" s="1">
        <f>P40*G40/I40</f>
        <v>2.2305997937507733</v>
      </c>
      <c r="R40">
        <f t="shared" ref="R40:R103" si="3">H40*P40/I40</f>
        <v>2.9872383244914897</v>
      </c>
    </row>
    <row r="41" spans="1:18" x14ac:dyDescent="0.4">
      <c r="A41" s="1" t="s">
        <v>2</v>
      </c>
      <c r="B41" s="1">
        <v>2028</v>
      </c>
      <c r="C41" s="1">
        <v>13.106280740000001</v>
      </c>
      <c r="D41" s="1">
        <v>2.4210424879999999</v>
      </c>
      <c r="E41" s="1">
        <f t="shared" si="0"/>
        <v>10.685238252000001</v>
      </c>
      <c r="F41" s="10">
        <v>436000000</v>
      </c>
      <c r="G41" s="1">
        <v>9.2067957170000003</v>
      </c>
      <c r="H41" s="1">
        <v>12.480464919999999</v>
      </c>
      <c r="I41" s="1">
        <v>10.843630320000001</v>
      </c>
      <c r="J41" s="1">
        <v>69</v>
      </c>
      <c r="K41" s="1">
        <v>257</v>
      </c>
      <c r="L41" s="1">
        <v>280</v>
      </c>
      <c r="M41" s="1">
        <v>2.2081887569999998</v>
      </c>
      <c r="N41" s="1">
        <f t="shared" si="1"/>
        <v>1.874864984356563</v>
      </c>
      <c r="O41" s="1">
        <f t="shared" si="2"/>
        <v>2.5415125290325187</v>
      </c>
      <c r="P41" s="1">
        <v>2.6113218709999999</v>
      </c>
      <c r="Q41" s="1">
        <f t="shared" ref="Q41:Q104" si="4">P41*G41/I41</f>
        <v>2.217145578385157</v>
      </c>
      <c r="R41">
        <f t="shared" si="3"/>
        <v>3.005498162892394</v>
      </c>
    </row>
    <row r="42" spans="1:18" x14ac:dyDescent="0.4">
      <c r="A42" s="1" t="s">
        <v>2</v>
      </c>
      <c r="B42" s="1">
        <v>2029</v>
      </c>
      <c r="C42" s="1">
        <v>13.09327519</v>
      </c>
      <c r="D42" s="1">
        <v>2.331822072</v>
      </c>
      <c r="E42" s="1">
        <f t="shared" si="0"/>
        <v>10.761453118</v>
      </c>
      <c r="F42" s="10">
        <v>436000000</v>
      </c>
      <c r="G42" s="1">
        <v>9.4700237739999995</v>
      </c>
      <c r="H42" s="1">
        <v>12.385769440000001</v>
      </c>
      <c r="I42" s="1">
        <v>10.927896609999999</v>
      </c>
      <c r="J42" s="1">
        <v>69</v>
      </c>
      <c r="K42" s="1">
        <v>257</v>
      </c>
      <c r="L42" s="1">
        <v>281</v>
      </c>
      <c r="M42" s="1">
        <v>2.2132060550000001</v>
      </c>
      <c r="N42" s="1">
        <f t="shared" si="1"/>
        <v>1.9179458504787914</v>
      </c>
      <c r="O42" s="1">
        <f t="shared" si="2"/>
        <v>2.5084662583060404</v>
      </c>
      <c r="P42" s="1">
        <v>2.612206021</v>
      </c>
      <c r="Q42" s="1">
        <f t="shared" si="4"/>
        <v>2.2637158827819421</v>
      </c>
      <c r="R42">
        <f t="shared" si="3"/>
        <v>2.9606961577838171</v>
      </c>
    </row>
    <row r="43" spans="1:18" x14ac:dyDescent="0.4">
      <c r="A43" s="1" t="s">
        <v>2</v>
      </c>
      <c r="B43" s="1">
        <v>2030</v>
      </c>
      <c r="C43" s="1">
        <v>13.052809079999999</v>
      </c>
      <c r="D43" s="1">
        <v>2.2914407209999998</v>
      </c>
      <c r="E43" s="1">
        <f t="shared" si="0"/>
        <v>10.761368358999999</v>
      </c>
      <c r="F43" s="10">
        <v>436000000</v>
      </c>
      <c r="G43" s="1">
        <v>9.4327024769999994</v>
      </c>
      <c r="H43" s="1">
        <v>11.928635939999999</v>
      </c>
      <c r="I43" s="1">
        <v>10.68066921</v>
      </c>
      <c r="J43" s="1">
        <v>69</v>
      </c>
      <c r="K43" s="1">
        <v>257</v>
      </c>
      <c r="L43" s="1">
        <v>281</v>
      </c>
      <c r="M43" s="1">
        <v>2.2135430199999999</v>
      </c>
      <c r="N43" s="1">
        <f t="shared" si="1"/>
        <v>1.9549049143990911</v>
      </c>
      <c r="O43" s="1">
        <f t="shared" si="2"/>
        <v>2.4721811249791656</v>
      </c>
      <c r="P43" s="1">
        <v>2.6122388619999999</v>
      </c>
      <c r="Q43" s="1">
        <f t="shared" si="4"/>
        <v>2.3070157402714897</v>
      </c>
      <c r="R43">
        <f t="shared" si="3"/>
        <v>2.9174619829947805</v>
      </c>
    </row>
    <row r="44" spans="1:18" x14ac:dyDescent="0.4">
      <c r="A44" s="1" t="s">
        <v>2</v>
      </c>
      <c r="B44" s="1">
        <v>2031</v>
      </c>
      <c r="C44" s="1">
        <v>13.02069835</v>
      </c>
      <c r="D44" s="1">
        <v>2.2036307449999999</v>
      </c>
      <c r="E44" s="1">
        <f t="shared" si="0"/>
        <v>10.817067605</v>
      </c>
      <c r="F44" s="10">
        <v>436000000</v>
      </c>
      <c r="G44" s="1">
        <v>9.5029805019999998</v>
      </c>
      <c r="H44" s="1">
        <v>12.009379900000001</v>
      </c>
      <c r="I44" s="1">
        <v>10.756180199999999</v>
      </c>
      <c r="J44" s="1">
        <v>69</v>
      </c>
      <c r="K44" s="1">
        <v>257</v>
      </c>
      <c r="L44" s="1">
        <v>282</v>
      </c>
      <c r="M44" s="1">
        <v>2.217144115</v>
      </c>
      <c r="N44" s="1">
        <f t="shared" si="1"/>
        <v>1.9588252430885311</v>
      </c>
      <c r="O44" s="1">
        <f t="shared" si="2"/>
        <v>2.4754629873237244</v>
      </c>
      <c r="P44" s="1">
        <v>2.613087519</v>
      </c>
      <c r="Q44" s="1">
        <f t="shared" si="4"/>
        <v>2.3086373862606502</v>
      </c>
      <c r="R44">
        <f t="shared" si="3"/>
        <v>2.917537652225227</v>
      </c>
    </row>
    <row r="45" spans="1:18" x14ac:dyDescent="0.4">
      <c r="A45" s="1" t="s">
        <v>2</v>
      </c>
      <c r="B45" s="1">
        <v>2032</v>
      </c>
      <c r="C45" s="1">
        <v>13.0048008</v>
      </c>
      <c r="D45" s="1">
        <v>2.265306673</v>
      </c>
      <c r="E45" s="1">
        <f t="shared" si="0"/>
        <v>10.739494127</v>
      </c>
      <c r="F45" s="10">
        <v>436000000</v>
      </c>
      <c r="G45" s="1">
        <v>9.6112177229999993</v>
      </c>
      <c r="H45" s="1">
        <v>12.388023029999999</v>
      </c>
      <c r="I45" s="1">
        <v>10.99962038</v>
      </c>
      <c r="J45" s="1">
        <v>69</v>
      </c>
      <c r="K45" s="1">
        <v>257</v>
      </c>
      <c r="L45" s="1">
        <v>283</v>
      </c>
      <c r="M45" s="1">
        <v>2.2123936729999998</v>
      </c>
      <c r="N45" s="1">
        <f t="shared" si="1"/>
        <v>1.9331391944083314</v>
      </c>
      <c r="O45" s="1">
        <f t="shared" si="2"/>
        <v>2.4916481501837326</v>
      </c>
      <c r="P45" s="1">
        <v>2.6118306279999999</v>
      </c>
      <c r="Q45" s="1">
        <f t="shared" si="4"/>
        <v>2.2821581067425725</v>
      </c>
      <c r="R45">
        <f t="shared" si="3"/>
        <v>2.941503147595296</v>
      </c>
    </row>
    <row r="46" spans="1:18" x14ac:dyDescent="0.4">
      <c r="A46" s="1" t="s">
        <v>2</v>
      </c>
      <c r="B46" s="1">
        <v>2033</v>
      </c>
      <c r="C46" s="1">
        <v>13.03306006</v>
      </c>
      <c r="D46" s="1">
        <v>2.1521601530000001</v>
      </c>
      <c r="E46" s="1">
        <f t="shared" si="0"/>
        <v>10.880899907</v>
      </c>
      <c r="F46" s="10">
        <v>436000000</v>
      </c>
      <c r="G46" s="1">
        <v>9.7197683930000007</v>
      </c>
      <c r="H46" s="1">
        <v>12.862896770000001</v>
      </c>
      <c r="I46" s="1">
        <v>11.291332580000001</v>
      </c>
      <c r="J46" s="1">
        <v>69</v>
      </c>
      <c r="K46" s="1">
        <v>257</v>
      </c>
      <c r="L46" s="1">
        <v>284</v>
      </c>
      <c r="M46" s="1">
        <v>2.2197210329999999</v>
      </c>
      <c r="N46" s="1">
        <f t="shared" si="1"/>
        <v>1.9107730805880405</v>
      </c>
      <c r="O46" s="1">
        <f t="shared" si="2"/>
        <v>2.5286689860017177</v>
      </c>
      <c r="P46" s="1">
        <v>2.611198114</v>
      </c>
      <c r="Q46" s="1">
        <f t="shared" si="4"/>
        <v>2.2477631153362423</v>
      </c>
      <c r="R46">
        <f t="shared" si="3"/>
        <v>2.9746331133575281</v>
      </c>
    </row>
    <row r="47" spans="1:18" x14ac:dyDescent="0.4">
      <c r="A47" s="1" t="s">
        <v>2</v>
      </c>
      <c r="B47" s="1">
        <v>2034</v>
      </c>
      <c r="C47" s="1">
        <v>12.989940750000001</v>
      </c>
      <c r="D47" s="1">
        <v>2.1212810740000001</v>
      </c>
      <c r="E47" s="1">
        <f t="shared" si="0"/>
        <v>10.868659676</v>
      </c>
      <c r="F47" s="10">
        <v>436000000</v>
      </c>
      <c r="G47" s="1">
        <v>9.6666675430000009</v>
      </c>
      <c r="H47" s="1">
        <v>12.2625896</v>
      </c>
      <c r="I47" s="1">
        <v>10.96462857</v>
      </c>
      <c r="J47" s="1">
        <v>69</v>
      </c>
      <c r="K47" s="1">
        <v>257</v>
      </c>
      <c r="L47" s="1">
        <v>284</v>
      </c>
      <c r="M47" s="1">
        <v>2.2191947339999998</v>
      </c>
      <c r="N47" s="1">
        <f t="shared" si="1"/>
        <v>1.9564928779666193</v>
      </c>
      <c r="O47" s="1">
        <f t="shared" si="2"/>
        <v>2.4818965906405679</v>
      </c>
      <c r="P47" s="1">
        <v>2.610947119</v>
      </c>
      <c r="Q47" s="1">
        <f t="shared" si="4"/>
        <v>2.3018707483427923</v>
      </c>
      <c r="R47">
        <f t="shared" si="3"/>
        <v>2.9200234903715812</v>
      </c>
    </row>
    <row r="48" spans="1:18" x14ac:dyDescent="0.4">
      <c r="A48" s="1" t="s">
        <v>2</v>
      </c>
      <c r="B48" s="1">
        <v>2035</v>
      </c>
      <c r="C48" s="1">
        <v>12.981190870000001</v>
      </c>
      <c r="D48" s="1">
        <v>2.0026261999999999</v>
      </c>
      <c r="E48" s="1">
        <f t="shared" si="0"/>
        <v>10.978564670000001</v>
      </c>
      <c r="F48" s="10">
        <v>436000000</v>
      </c>
      <c r="G48" s="1">
        <v>9.6518972329999997</v>
      </c>
      <c r="H48" s="1">
        <v>12.80487449</v>
      </c>
      <c r="I48" s="1">
        <v>11.228385859999999</v>
      </c>
      <c r="J48" s="1">
        <v>69</v>
      </c>
      <c r="K48" s="1">
        <v>257</v>
      </c>
      <c r="L48" s="1">
        <v>285</v>
      </c>
      <c r="M48" s="1">
        <v>2.2260118819999999</v>
      </c>
      <c r="N48" s="1">
        <f t="shared" si="1"/>
        <v>1.9134752040397838</v>
      </c>
      <c r="O48" s="1">
        <f t="shared" si="2"/>
        <v>2.538548560554962</v>
      </c>
      <c r="P48" s="1">
        <v>2.6122127279999998</v>
      </c>
      <c r="Q48" s="1">
        <f t="shared" si="4"/>
        <v>2.2454526514989732</v>
      </c>
      <c r="R48">
        <f t="shared" si="3"/>
        <v>2.9789728051989575</v>
      </c>
    </row>
    <row r="49" spans="1:18" x14ac:dyDescent="0.4">
      <c r="A49" s="1" t="s">
        <v>2</v>
      </c>
      <c r="B49" s="1">
        <v>2036</v>
      </c>
      <c r="C49" s="1">
        <v>12.976682</v>
      </c>
      <c r="D49" s="1">
        <v>1.983655054</v>
      </c>
      <c r="E49" s="1">
        <f t="shared" si="0"/>
        <v>10.993026946000001</v>
      </c>
      <c r="F49" s="10">
        <v>436000000</v>
      </c>
      <c r="G49" s="1">
        <v>9.6269931890000002</v>
      </c>
      <c r="H49" s="1">
        <v>12.59939896</v>
      </c>
      <c r="I49" s="1">
        <v>11.11319608</v>
      </c>
      <c r="J49" s="1">
        <v>69</v>
      </c>
      <c r="K49" s="1">
        <v>257</v>
      </c>
      <c r="L49" s="1">
        <v>286</v>
      </c>
      <c r="M49" s="1">
        <v>2.2274461689999998</v>
      </c>
      <c r="N49" s="1">
        <f t="shared" si="1"/>
        <v>1.9295627417587276</v>
      </c>
      <c r="O49" s="1">
        <f t="shared" si="2"/>
        <v>2.5253295940365144</v>
      </c>
      <c r="P49" s="1">
        <v>2.6126642389999999</v>
      </c>
      <c r="Q49" s="1">
        <f t="shared" si="4"/>
        <v>2.2632643798359822</v>
      </c>
      <c r="R49">
        <f t="shared" si="3"/>
        <v>2.9620640955779658</v>
      </c>
    </row>
    <row r="50" spans="1:18" x14ac:dyDescent="0.4">
      <c r="A50" s="1" t="s">
        <v>2</v>
      </c>
      <c r="B50" s="1">
        <v>2037</v>
      </c>
      <c r="C50" s="1">
        <v>12.920071910000001</v>
      </c>
      <c r="D50" s="1">
        <v>1.9464360650000001</v>
      </c>
      <c r="E50" s="1">
        <f t="shared" si="0"/>
        <v>10.973635845</v>
      </c>
      <c r="F50" s="10">
        <v>436000000</v>
      </c>
      <c r="G50" s="1">
        <v>9.8444347210000007</v>
      </c>
      <c r="H50" s="1">
        <v>12.595397670000001</v>
      </c>
      <c r="I50" s="1">
        <v>11.2199162</v>
      </c>
      <c r="J50" s="1">
        <v>69</v>
      </c>
      <c r="K50" s="1">
        <v>257</v>
      </c>
      <c r="L50" s="1">
        <v>287</v>
      </c>
      <c r="M50" s="1">
        <v>2.2259894920000001</v>
      </c>
      <c r="N50" s="1">
        <f t="shared" si="1"/>
        <v>1.9530991010098591</v>
      </c>
      <c r="O50" s="1">
        <f t="shared" si="2"/>
        <v>2.4988798812045747</v>
      </c>
      <c r="P50" s="1">
        <v>2.6117130180000001</v>
      </c>
      <c r="Q50" s="1">
        <f t="shared" si="4"/>
        <v>2.2915356814952772</v>
      </c>
      <c r="R50">
        <f t="shared" si="3"/>
        <v>2.9318903524097504</v>
      </c>
    </row>
    <row r="51" spans="1:18" x14ac:dyDescent="0.4">
      <c r="A51" s="1" t="s">
        <v>2</v>
      </c>
      <c r="B51" s="1">
        <v>2038</v>
      </c>
      <c r="C51" s="1">
        <v>12.88840856</v>
      </c>
      <c r="D51" s="1">
        <v>1.8423096450000001</v>
      </c>
      <c r="E51" s="1">
        <f t="shared" si="0"/>
        <v>11.046098915</v>
      </c>
      <c r="F51" s="10">
        <v>436000000</v>
      </c>
      <c r="G51" s="1">
        <v>9.8875901370000001</v>
      </c>
      <c r="H51" s="1">
        <v>12.667047820000001</v>
      </c>
      <c r="I51" s="1">
        <v>11.27731898</v>
      </c>
      <c r="J51" s="1">
        <v>69</v>
      </c>
      <c r="K51" s="1">
        <v>257</v>
      </c>
      <c r="L51" s="1">
        <v>287</v>
      </c>
      <c r="M51" s="1">
        <v>2.2295571619999999</v>
      </c>
      <c r="N51" s="1">
        <f t="shared" si="1"/>
        <v>1.9548039249368567</v>
      </c>
      <c r="O51" s="1">
        <f t="shared" si="2"/>
        <v>2.5043103984700346</v>
      </c>
      <c r="P51" s="1">
        <v>2.6109397319999998</v>
      </c>
      <c r="Q51" s="1">
        <f t="shared" si="4"/>
        <v>2.2891878812870661</v>
      </c>
      <c r="R51">
        <f t="shared" si="3"/>
        <v>2.9326915820183692</v>
      </c>
    </row>
    <row r="52" spans="1:18" x14ac:dyDescent="0.4">
      <c r="A52" s="1" t="s">
        <v>2</v>
      </c>
      <c r="B52" s="1">
        <v>2039</v>
      </c>
      <c r="C52" s="1">
        <v>12.818498979999999</v>
      </c>
      <c r="D52" s="1">
        <v>1.818409309</v>
      </c>
      <c r="E52" s="1">
        <f t="shared" si="0"/>
        <v>11.000089671</v>
      </c>
      <c r="F52" s="10">
        <v>436000000</v>
      </c>
      <c r="G52" s="1">
        <v>9.7556750169999997</v>
      </c>
      <c r="H52" s="1">
        <v>12.566447439999999</v>
      </c>
      <c r="I52" s="1">
        <v>11.16106123</v>
      </c>
      <c r="J52" s="1">
        <v>69</v>
      </c>
      <c r="K52" s="1">
        <v>257</v>
      </c>
      <c r="L52" s="1">
        <v>288</v>
      </c>
      <c r="M52" s="1">
        <v>2.2270217699999999</v>
      </c>
      <c r="N52" s="1">
        <f t="shared" si="1"/>
        <v>1.9465981053402142</v>
      </c>
      <c r="O52" s="1">
        <f t="shared" si="2"/>
        <v>2.5074454340611809</v>
      </c>
      <c r="P52" s="1">
        <v>2.6108259569999999</v>
      </c>
      <c r="Q52" s="1">
        <f t="shared" si="4"/>
        <v>2.2820741717622504</v>
      </c>
      <c r="R52">
        <f t="shared" si="3"/>
        <v>2.9395777415359809</v>
      </c>
    </row>
    <row r="53" spans="1:18" x14ac:dyDescent="0.4">
      <c r="A53" s="1" t="s">
        <v>2</v>
      </c>
      <c r="B53" s="1">
        <v>2040</v>
      </c>
      <c r="C53" s="1">
        <v>12.800066640000001</v>
      </c>
      <c r="D53" s="1">
        <v>1.806144135</v>
      </c>
      <c r="E53" s="1">
        <f t="shared" si="0"/>
        <v>10.993922505</v>
      </c>
      <c r="F53" s="10">
        <v>436000000</v>
      </c>
      <c r="G53" s="1">
        <v>9.9549388059999995</v>
      </c>
      <c r="H53" s="1">
        <v>12.53978367</v>
      </c>
      <c r="I53" s="1">
        <v>11.24736124</v>
      </c>
      <c r="J53" s="1">
        <v>69</v>
      </c>
      <c r="K53" s="1">
        <v>257</v>
      </c>
      <c r="L53" s="1">
        <v>289</v>
      </c>
      <c r="M53" s="1">
        <v>2.2256579489999999</v>
      </c>
      <c r="N53" s="1">
        <f t="shared" si="1"/>
        <v>1.9699099382160918</v>
      </c>
      <c r="O53" s="1">
        <f t="shared" si="2"/>
        <v>2.4814059589923771</v>
      </c>
      <c r="P53" s="1">
        <v>2.6090871290000002</v>
      </c>
      <c r="Q53" s="1">
        <f t="shared" si="4"/>
        <v>2.309279674982434</v>
      </c>
      <c r="R53">
        <f t="shared" si="3"/>
        <v>2.908894582089673</v>
      </c>
    </row>
    <row r="54" spans="1:18" x14ac:dyDescent="0.4">
      <c r="A54" s="1" t="s">
        <v>2</v>
      </c>
      <c r="B54" s="1">
        <v>2041</v>
      </c>
      <c r="C54" s="1">
        <v>12.775077789999999</v>
      </c>
      <c r="D54" s="1">
        <v>1.7681255499999999</v>
      </c>
      <c r="E54" s="1">
        <f t="shared" si="0"/>
        <v>11.006952239999999</v>
      </c>
      <c r="F54" s="10">
        <v>436000000</v>
      </c>
      <c r="G54" s="1">
        <v>9.9935557050000003</v>
      </c>
      <c r="H54" s="1">
        <v>12.629759890000001</v>
      </c>
      <c r="I54" s="1">
        <v>11.311657800000001</v>
      </c>
      <c r="J54" s="1">
        <v>69</v>
      </c>
      <c r="K54" s="1">
        <v>257</v>
      </c>
      <c r="L54" s="1">
        <v>290</v>
      </c>
      <c r="M54" s="1">
        <v>2.2253172389999998</v>
      </c>
      <c r="N54" s="1">
        <f t="shared" si="1"/>
        <v>1.9660099503048345</v>
      </c>
      <c r="O54" s="1">
        <f t="shared" si="2"/>
        <v>2.4846245267115261</v>
      </c>
      <c r="P54" s="1">
        <v>2.6073577710000002</v>
      </c>
      <c r="Q54" s="1">
        <f t="shared" si="4"/>
        <v>2.3035328320622583</v>
      </c>
      <c r="R54">
        <f t="shared" si="3"/>
        <v>2.9111827087852324</v>
      </c>
    </row>
    <row r="55" spans="1:18" x14ac:dyDescent="0.4">
      <c r="A55" s="1" t="s">
        <v>2</v>
      </c>
      <c r="B55" s="1">
        <v>2042</v>
      </c>
      <c r="C55" s="1">
        <v>12.734628409999999</v>
      </c>
      <c r="D55" s="1">
        <v>1.6434027840000001</v>
      </c>
      <c r="E55" s="1">
        <f t="shared" si="0"/>
        <v>11.091225626</v>
      </c>
      <c r="F55" s="10">
        <v>436000000</v>
      </c>
      <c r="G55" s="1">
        <v>9.9321398290000005</v>
      </c>
      <c r="H55" s="1">
        <v>12.48620292</v>
      </c>
      <c r="I55" s="1">
        <v>11.209171380000001</v>
      </c>
      <c r="J55" s="1">
        <v>69</v>
      </c>
      <c r="K55" s="1">
        <v>257</v>
      </c>
      <c r="L55" s="1">
        <v>290</v>
      </c>
      <c r="M55" s="1">
        <v>2.2295311839999998</v>
      </c>
      <c r="N55" s="1">
        <f t="shared" si="1"/>
        <v>1.9755265328634777</v>
      </c>
      <c r="O55" s="1">
        <f t="shared" si="2"/>
        <v>2.4835358329485953</v>
      </c>
      <c r="P55" s="1">
        <v>2.606650143</v>
      </c>
      <c r="Q55" s="1">
        <f t="shared" si="4"/>
        <v>2.3096813161187342</v>
      </c>
      <c r="R55">
        <f t="shared" si="3"/>
        <v>2.9036189673232577</v>
      </c>
    </row>
    <row r="56" spans="1:18" x14ac:dyDescent="0.4">
      <c r="A56" s="1" t="s">
        <v>2</v>
      </c>
      <c r="B56" s="1">
        <v>2043</v>
      </c>
      <c r="C56" s="1">
        <v>12.7216006</v>
      </c>
      <c r="D56" s="1">
        <v>1.6491916280000001</v>
      </c>
      <c r="E56" s="1">
        <f t="shared" si="0"/>
        <v>11.072408972</v>
      </c>
      <c r="F56" s="10">
        <v>436000000</v>
      </c>
      <c r="G56" s="1">
        <v>9.9861381940000005</v>
      </c>
      <c r="H56" s="1">
        <v>12.47277688</v>
      </c>
      <c r="I56" s="1">
        <v>11.22945754</v>
      </c>
      <c r="J56" s="1">
        <v>69</v>
      </c>
      <c r="K56" s="1">
        <v>257</v>
      </c>
      <c r="L56" s="1">
        <v>291</v>
      </c>
      <c r="M56" s="1">
        <v>2.2287908769999998</v>
      </c>
      <c r="N56" s="1">
        <f t="shared" si="1"/>
        <v>1.9820203802336522</v>
      </c>
      <c r="O56" s="1">
        <f t="shared" si="2"/>
        <v>2.4755613725754841</v>
      </c>
      <c r="P56" s="1">
        <v>2.6069746130000002</v>
      </c>
      <c r="Q56" s="1">
        <f t="shared" si="4"/>
        <v>2.3183318215447537</v>
      </c>
      <c r="R56">
        <f t="shared" si="3"/>
        <v>2.8956174030623161</v>
      </c>
    </row>
    <row r="57" spans="1:18" x14ac:dyDescent="0.4">
      <c r="A57" s="1" t="s">
        <v>2</v>
      </c>
      <c r="B57" s="1">
        <v>2044</v>
      </c>
      <c r="C57" s="1">
        <v>12.67501989</v>
      </c>
      <c r="D57" s="1">
        <v>1.664858451</v>
      </c>
      <c r="E57" s="1">
        <f t="shared" si="0"/>
        <v>11.010161438999999</v>
      </c>
      <c r="F57" s="10">
        <v>436000000</v>
      </c>
      <c r="G57" s="1">
        <v>9.9317729739999994</v>
      </c>
      <c r="H57" s="1">
        <v>12.6830246</v>
      </c>
      <c r="I57" s="1">
        <v>11.307398790000001</v>
      </c>
      <c r="J57" s="1">
        <v>69</v>
      </c>
      <c r="K57" s="1">
        <v>257</v>
      </c>
      <c r="L57" s="1">
        <v>292</v>
      </c>
      <c r="M57" s="1">
        <v>2.2242709879999998</v>
      </c>
      <c r="N57" s="1">
        <f t="shared" si="1"/>
        <v>1.953672537401564</v>
      </c>
      <c r="O57" s="1">
        <f t="shared" si="2"/>
        <v>2.4948694374181795</v>
      </c>
      <c r="P57" s="1">
        <v>2.6049864949999999</v>
      </c>
      <c r="Q57" s="1">
        <f t="shared" si="4"/>
        <v>2.2880712840478128</v>
      </c>
      <c r="R57">
        <f t="shared" si="3"/>
        <v>2.9219017045699132</v>
      </c>
    </row>
    <row r="58" spans="1:18" x14ac:dyDescent="0.4">
      <c r="A58" s="1" t="s">
        <v>2</v>
      </c>
      <c r="B58" s="1">
        <v>2045</v>
      </c>
      <c r="C58" s="1">
        <v>12.74292741</v>
      </c>
      <c r="D58" s="1">
        <v>1.6265772009999999</v>
      </c>
      <c r="E58" s="1">
        <f t="shared" si="0"/>
        <v>11.116350209</v>
      </c>
      <c r="F58" s="10">
        <v>436000000</v>
      </c>
      <c r="G58" s="1">
        <v>9.9682568119999999</v>
      </c>
      <c r="H58" s="1">
        <v>12.920414900000001</v>
      </c>
      <c r="I58" s="1">
        <v>11.444335860000001</v>
      </c>
      <c r="J58" s="1">
        <v>69</v>
      </c>
      <c r="K58" s="1">
        <v>257</v>
      </c>
      <c r="L58" s="1">
        <v>293</v>
      </c>
      <c r="M58" s="1">
        <v>2.2292518810000002</v>
      </c>
      <c r="N58" s="1">
        <f t="shared" si="1"/>
        <v>1.9417251922945631</v>
      </c>
      <c r="O58" s="1">
        <f t="shared" si="2"/>
        <v>2.5167785681471102</v>
      </c>
      <c r="P58" s="1">
        <v>2.6038130970000002</v>
      </c>
      <c r="Q58" s="1">
        <f t="shared" si="4"/>
        <v>2.2679758754777639</v>
      </c>
      <c r="R58">
        <f t="shared" si="3"/>
        <v>2.9396503167020778</v>
      </c>
    </row>
    <row r="59" spans="1:18" x14ac:dyDescent="0.4">
      <c r="A59" s="1" t="s">
        <v>2</v>
      </c>
      <c r="B59" s="1">
        <v>2046</v>
      </c>
      <c r="C59" s="1">
        <v>12.68998549</v>
      </c>
      <c r="D59" s="1">
        <v>1.606991812</v>
      </c>
      <c r="E59" s="1">
        <f t="shared" si="0"/>
        <v>11.082993677999999</v>
      </c>
      <c r="F59" s="10">
        <v>436000000</v>
      </c>
      <c r="G59" s="1">
        <v>9.8040540860000007</v>
      </c>
      <c r="H59" s="1">
        <v>12.87971063</v>
      </c>
      <c r="I59" s="1">
        <v>11.34188236</v>
      </c>
      <c r="J59" s="1">
        <v>69</v>
      </c>
      <c r="K59" s="1">
        <v>257</v>
      </c>
      <c r="L59" s="1">
        <v>294</v>
      </c>
      <c r="M59" s="1">
        <v>2.2269273520000001</v>
      </c>
      <c r="N59" s="1">
        <f t="shared" si="1"/>
        <v>1.9249817192250234</v>
      </c>
      <c r="O59" s="1">
        <f t="shared" si="2"/>
        <v>2.5288729839895954</v>
      </c>
      <c r="P59" s="1">
        <v>2.6026861640000001</v>
      </c>
      <c r="Q59" s="1">
        <f t="shared" si="4"/>
        <v>2.2497919755129492</v>
      </c>
      <c r="R59">
        <f t="shared" si="3"/>
        <v>2.9555803515691483</v>
      </c>
    </row>
    <row r="60" spans="1:18" x14ac:dyDescent="0.4">
      <c r="A60" s="1" t="s">
        <v>2</v>
      </c>
      <c r="B60" s="1">
        <v>2047</v>
      </c>
      <c r="C60" s="1">
        <v>12.67562148</v>
      </c>
      <c r="D60" s="1">
        <v>1.5378826590000001</v>
      </c>
      <c r="E60" s="1">
        <f t="shared" si="0"/>
        <v>11.137738820999999</v>
      </c>
      <c r="F60" s="10">
        <v>436000000</v>
      </c>
      <c r="G60" s="1">
        <v>9.5241589569999991</v>
      </c>
      <c r="H60" s="1">
        <v>12.77822272</v>
      </c>
      <c r="I60" s="1">
        <v>11.15119084</v>
      </c>
      <c r="J60" s="1">
        <v>69</v>
      </c>
      <c r="K60" s="1">
        <v>257</v>
      </c>
      <c r="L60" s="1">
        <v>294</v>
      </c>
      <c r="M60" s="1">
        <v>2.2291952519999998</v>
      </c>
      <c r="N60" s="1">
        <f t="shared" si="1"/>
        <v>1.9039410436847719</v>
      </c>
      <c r="O60" s="1">
        <f t="shared" si="2"/>
        <v>2.5544494597155083</v>
      </c>
      <c r="P60" s="1">
        <v>2.6015220270000001</v>
      </c>
      <c r="Q60" s="1">
        <f t="shared" si="4"/>
        <v>2.2219429001615802</v>
      </c>
      <c r="R60">
        <f t="shared" si="3"/>
        <v>2.9811011531385341</v>
      </c>
    </row>
    <row r="61" spans="1:18" x14ac:dyDescent="0.4">
      <c r="A61" s="1" t="s">
        <v>2</v>
      </c>
      <c r="B61" s="1">
        <v>2048</v>
      </c>
      <c r="C61" s="1">
        <v>12.671030930000001</v>
      </c>
      <c r="D61" s="1">
        <v>1.5658354480000001</v>
      </c>
      <c r="E61" s="1">
        <f t="shared" si="0"/>
        <v>11.105195482000001</v>
      </c>
      <c r="F61" s="10">
        <v>436000000</v>
      </c>
      <c r="G61" s="1">
        <v>9.7212893010000005</v>
      </c>
      <c r="H61" s="1">
        <v>12.49751839</v>
      </c>
      <c r="I61" s="1">
        <v>11.10940385</v>
      </c>
      <c r="J61" s="1">
        <v>69</v>
      </c>
      <c r="K61" s="1">
        <v>257</v>
      </c>
      <c r="L61" s="1">
        <v>295</v>
      </c>
      <c r="M61" s="1">
        <v>2.227250502</v>
      </c>
      <c r="N61" s="1">
        <f t="shared" si="1"/>
        <v>1.9489566468266863</v>
      </c>
      <c r="O61" s="1">
        <f t="shared" si="2"/>
        <v>2.5055443553689636</v>
      </c>
      <c r="P61" s="1">
        <v>2.6012170710000002</v>
      </c>
      <c r="Q61" s="1">
        <f t="shared" si="4"/>
        <v>2.2761962768948094</v>
      </c>
      <c r="R61">
        <f t="shared" si="3"/>
        <v>2.9262378629978816</v>
      </c>
    </row>
    <row r="62" spans="1:18" x14ac:dyDescent="0.4">
      <c r="A62" s="1" t="s">
        <v>2</v>
      </c>
      <c r="B62" s="1">
        <v>2049</v>
      </c>
      <c r="C62" s="1">
        <v>12.66495303</v>
      </c>
      <c r="D62" s="1">
        <v>1.5964378779999999</v>
      </c>
      <c r="E62" s="1">
        <f t="shared" si="0"/>
        <v>11.068515152</v>
      </c>
      <c r="F62" s="10">
        <v>436000000</v>
      </c>
      <c r="G62" s="1">
        <v>9.5887738460000005</v>
      </c>
      <c r="H62" s="1">
        <v>12.52431662</v>
      </c>
      <c r="I62" s="1">
        <v>11.056545229999999</v>
      </c>
      <c r="J62" s="1">
        <v>69</v>
      </c>
      <c r="K62" s="1">
        <v>257</v>
      </c>
      <c r="L62" s="1">
        <v>296</v>
      </c>
      <c r="M62" s="1">
        <v>2.2240208379999999</v>
      </c>
      <c r="N62" s="1">
        <f t="shared" si="1"/>
        <v>1.928779053560965</v>
      </c>
      <c r="O62" s="1">
        <f t="shared" si="2"/>
        <v>2.5192626236459335</v>
      </c>
      <c r="P62" s="1">
        <v>2.5991423990000002</v>
      </c>
      <c r="Q62" s="1">
        <f t="shared" si="4"/>
        <v>2.2541027182648175</v>
      </c>
      <c r="R62">
        <f t="shared" si="3"/>
        <v>2.9441820811456467</v>
      </c>
    </row>
    <row r="63" spans="1:18" x14ac:dyDescent="0.4">
      <c r="A63" s="1" t="s">
        <v>2</v>
      </c>
      <c r="B63" s="1">
        <v>2050</v>
      </c>
      <c r="C63" s="1">
        <v>12.58692638</v>
      </c>
      <c r="D63" s="1">
        <v>1.514347329</v>
      </c>
      <c r="E63" s="1">
        <f t="shared" si="0"/>
        <v>11.072579051</v>
      </c>
      <c r="F63" s="10">
        <v>436000000</v>
      </c>
      <c r="G63" s="1">
        <v>9.7548941379999992</v>
      </c>
      <c r="H63" s="1">
        <v>12.65571574</v>
      </c>
      <c r="I63" s="1">
        <v>11.20530494</v>
      </c>
      <c r="J63" s="1">
        <v>69</v>
      </c>
      <c r="K63" s="1">
        <v>257</v>
      </c>
      <c r="L63" s="1">
        <v>297</v>
      </c>
      <c r="M63" s="1">
        <v>2.2227986670000002</v>
      </c>
      <c r="N63" s="1">
        <f t="shared" si="1"/>
        <v>1.9350803751238665</v>
      </c>
      <c r="O63" s="1">
        <f t="shared" si="2"/>
        <v>2.5105169584793936</v>
      </c>
      <c r="P63" s="1">
        <v>2.5969122570000001</v>
      </c>
      <c r="Q63" s="1">
        <f t="shared" si="4"/>
        <v>2.2607688312237624</v>
      </c>
      <c r="R63">
        <f t="shared" si="3"/>
        <v>2.9330556823127232</v>
      </c>
    </row>
    <row r="64" spans="1:18" x14ac:dyDescent="0.4">
      <c r="A64" s="1" t="s">
        <v>2</v>
      </c>
      <c r="B64" s="1">
        <v>2051</v>
      </c>
      <c r="C64" s="1">
        <v>12.569490500000001</v>
      </c>
      <c r="D64" s="1">
        <v>1.413370325</v>
      </c>
      <c r="E64" s="1">
        <f t="shared" si="0"/>
        <v>11.156120175</v>
      </c>
      <c r="F64" s="10">
        <v>436000000</v>
      </c>
      <c r="G64" s="1">
        <v>10.10243204</v>
      </c>
      <c r="H64" s="1">
        <v>12.713722730000001</v>
      </c>
      <c r="I64" s="1">
        <v>11.408077390000001</v>
      </c>
      <c r="J64" s="1">
        <v>69</v>
      </c>
      <c r="K64" s="1">
        <v>257</v>
      </c>
      <c r="L64" s="1">
        <v>297</v>
      </c>
      <c r="M64" s="1">
        <v>2.2266540539999999</v>
      </c>
      <c r="N64" s="1">
        <f t="shared" si="1"/>
        <v>1.9718152751000482</v>
      </c>
      <c r="O64" s="1">
        <f t="shared" si="2"/>
        <v>2.4814928309481292</v>
      </c>
      <c r="P64" s="1">
        <v>2.595903565</v>
      </c>
      <c r="Q64" s="1">
        <f t="shared" si="4"/>
        <v>2.2988044743450167</v>
      </c>
      <c r="R64">
        <f t="shared" si="3"/>
        <v>2.8930026533794866</v>
      </c>
    </row>
    <row r="65" spans="1:18" x14ac:dyDescent="0.4">
      <c r="A65" s="1" t="s">
        <v>2</v>
      </c>
      <c r="B65" s="1">
        <v>2052</v>
      </c>
      <c r="C65" s="1">
        <v>12.5304561</v>
      </c>
      <c r="D65" s="1">
        <v>1.405956201</v>
      </c>
      <c r="E65" s="1">
        <f t="shared" si="0"/>
        <v>11.124499899</v>
      </c>
      <c r="F65" s="10">
        <v>436000000</v>
      </c>
      <c r="G65" s="1">
        <v>9.8061177799999992</v>
      </c>
      <c r="H65" s="1">
        <v>12.740116609999999</v>
      </c>
      <c r="I65" s="1">
        <v>11.273117190000001</v>
      </c>
      <c r="J65" s="1">
        <v>69</v>
      </c>
      <c r="K65" s="1">
        <v>257</v>
      </c>
      <c r="L65" s="1">
        <v>298</v>
      </c>
      <c r="M65" s="1">
        <v>2.2250083410000001</v>
      </c>
      <c r="N65" s="1">
        <f t="shared" si="1"/>
        <v>1.9354623468904433</v>
      </c>
      <c r="O65" s="1">
        <f t="shared" si="2"/>
        <v>2.5145543370832857</v>
      </c>
      <c r="P65" s="1">
        <v>2.5958968439999999</v>
      </c>
      <c r="Q65" s="1">
        <f t="shared" si="4"/>
        <v>2.258086185742409</v>
      </c>
      <c r="R65">
        <f t="shared" si="3"/>
        <v>2.933707504560322</v>
      </c>
    </row>
    <row r="66" spans="1:18" x14ac:dyDescent="0.4">
      <c r="A66" s="1" t="s">
        <v>2</v>
      </c>
      <c r="B66" s="1">
        <v>2053</v>
      </c>
      <c r="C66" s="1">
        <v>12.537216239999999</v>
      </c>
      <c r="D66" s="1">
        <v>1.3581064199999999</v>
      </c>
      <c r="E66" s="1">
        <f t="shared" si="0"/>
        <v>11.179109819999999</v>
      </c>
      <c r="F66" s="10">
        <v>436000000</v>
      </c>
      <c r="G66" s="1">
        <v>9.9647203369999993</v>
      </c>
      <c r="H66" s="1">
        <v>12.767071019999999</v>
      </c>
      <c r="I66" s="1">
        <v>11.36589568</v>
      </c>
      <c r="J66" s="1">
        <v>69</v>
      </c>
      <c r="K66" s="1">
        <v>257</v>
      </c>
      <c r="L66" s="1">
        <v>299</v>
      </c>
      <c r="M66" s="1">
        <v>2.227508421</v>
      </c>
      <c r="N66" s="1">
        <f t="shared" si="1"/>
        <v>1.9529035888157524</v>
      </c>
      <c r="O66" s="1">
        <f t="shared" si="2"/>
        <v>2.5021132525963021</v>
      </c>
      <c r="P66" s="1">
        <v>2.5950808869999999</v>
      </c>
      <c r="Q66" s="1">
        <f t="shared" si="4"/>
        <v>2.2751621182263833</v>
      </c>
      <c r="R66">
        <f t="shared" si="3"/>
        <v>2.9149996550886517</v>
      </c>
    </row>
    <row r="67" spans="1:18" x14ac:dyDescent="0.4">
      <c r="A67" s="1" t="s">
        <v>2</v>
      </c>
      <c r="B67" s="1">
        <v>2054</v>
      </c>
      <c r="C67" s="1">
        <v>12.50845644</v>
      </c>
      <c r="D67" s="1">
        <v>1.3655128700000001</v>
      </c>
      <c r="E67" s="1">
        <f t="shared" ref="E67:E130" si="5">C67-D67</f>
        <v>11.14294357</v>
      </c>
      <c r="F67" s="10">
        <v>436000000</v>
      </c>
      <c r="G67" s="1">
        <v>9.5807731440000001</v>
      </c>
      <c r="H67" s="1">
        <v>12.921107810000001</v>
      </c>
      <c r="I67" s="1">
        <v>11.250940480000001</v>
      </c>
      <c r="J67" s="1">
        <v>69</v>
      </c>
      <c r="K67" s="1">
        <v>257</v>
      </c>
      <c r="L67" s="1">
        <v>300</v>
      </c>
      <c r="M67" s="1">
        <v>2.2248086050000002</v>
      </c>
      <c r="N67" s="1">
        <f t="shared" si="1"/>
        <v>1.8945426447873364</v>
      </c>
      <c r="O67" s="1">
        <f t="shared" si="2"/>
        <v>2.5550745640261985</v>
      </c>
      <c r="P67" s="1">
        <v>2.593637653</v>
      </c>
      <c r="Q67" s="1">
        <f t="shared" si="4"/>
        <v>2.2086201607147413</v>
      </c>
      <c r="R67">
        <f t="shared" si="3"/>
        <v>2.9786551439021007</v>
      </c>
    </row>
    <row r="68" spans="1:18" x14ac:dyDescent="0.4">
      <c r="A68" s="1" t="s">
        <v>2</v>
      </c>
      <c r="B68" s="1">
        <v>2055</v>
      </c>
      <c r="C68" s="1">
        <v>12.49550309</v>
      </c>
      <c r="D68" s="1">
        <v>1.401306298</v>
      </c>
      <c r="E68" s="1">
        <f t="shared" si="5"/>
        <v>11.094196792</v>
      </c>
      <c r="F68" s="10">
        <v>436000000</v>
      </c>
      <c r="G68" s="1">
        <v>9.3063020420000004</v>
      </c>
      <c r="H68" s="1">
        <v>12.989433549999999</v>
      </c>
      <c r="I68" s="1">
        <v>11.1478678</v>
      </c>
      <c r="J68" s="1">
        <v>69</v>
      </c>
      <c r="K68" s="1">
        <v>257</v>
      </c>
      <c r="L68" s="1">
        <v>300</v>
      </c>
      <c r="M68" s="1">
        <v>2.2205796680000001</v>
      </c>
      <c r="N68" s="1">
        <f t="shared" si="1"/>
        <v>1.8537522573358902</v>
      </c>
      <c r="O68" s="1">
        <f t="shared" si="2"/>
        <v>2.5874070770705639</v>
      </c>
      <c r="P68" s="1">
        <v>2.5910577400000001</v>
      </c>
      <c r="Q68" s="1">
        <f t="shared" si="4"/>
        <v>2.1630294123780249</v>
      </c>
      <c r="R68">
        <f t="shared" si="3"/>
        <v>3.0190860657625644</v>
      </c>
    </row>
    <row r="69" spans="1:18" x14ac:dyDescent="0.4">
      <c r="A69" s="1" t="s">
        <v>2</v>
      </c>
      <c r="B69" s="1">
        <v>2056</v>
      </c>
      <c r="C69" s="1">
        <v>12.478265090000001</v>
      </c>
      <c r="D69" s="1">
        <v>1.417272356</v>
      </c>
      <c r="E69" s="1">
        <f t="shared" si="5"/>
        <v>11.060992734000001</v>
      </c>
      <c r="F69" s="10">
        <v>436000000</v>
      </c>
      <c r="G69" s="1">
        <v>10.049736729999999</v>
      </c>
      <c r="H69" s="1">
        <v>12.696240570000001</v>
      </c>
      <c r="I69" s="1">
        <v>11.37298865</v>
      </c>
      <c r="J69" s="1">
        <v>69</v>
      </c>
      <c r="K69" s="1">
        <v>257</v>
      </c>
      <c r="L69" s="1">
        <v>301</v>
      </c>
      <c r="M69" s="1">
        <v>2.217497786</v>
      </c>
      <c r="N69" s="1">
        <f t="shared" si="1"/>
        <v>1.9594910040341842</v>
      </c>
      <c r="O69" s="1">
        <f t="shared" si="2"/>
        <v>2.4755045679658161</v>
      </c>
      <c r="P69" s="1">
        <v>2.5893011449999999</v>
      </c>
      <c r="Q69" s="1">
        <f t="shared" si="4"/>
        <v>2.288034888871322</v>
      </c>
      <c r="R69">
        <f t="shared" si="3"/>
        <v>2.8905674011286777</v>
      </c>
    </row>
    <row r="70" spans="1:18" x14ac:dyDescent="0.4">
      <c r="A70" s="1" t="s">
        <v>2</v>
      </c>
      <c r="B70" s="1">
        <v>2057</v>
      </c>
      <c r="C70" s="1">
        <v>12.471549899999999</v>
      </c>
      <c r="D70" s="1">
        <v>1.4296887549999999</v>
      </c>
      <c r="E70" s="1">
        <f t="shared" si="5"/>
        <v>11.041861144999999</v>
      </c>
      <c r="F70" s="10">
        <v>436000000</v>
      </c>
      <c r="G70" s="1">
        <v>9.8529072719999995</v>
      </c>
      <c r="H70" s="1">
        <v>12.666094129999999</v>
      </c>
      <c r="I70" s="1">
        <v>11.2595007</v>
      </c>
      <c r="J70" s="1">
        <v>69</v>
      </c>
      <c r="K70" s="1">
        <v>257</v>
      </c>
      <c r="L70" s="1">
        <v>302</v>
      </c>
      <c r="M70" s="1">
        <v>2.2148719560000001</v>
      </c>
      <c r="N70" s="1">
        <f t="shared" si="1"/>
        <v>1.9381790172828235</v>
      </c>
      <c r="O70" s="1">
        <f t="shared" si="2"/>
        <v>2.4915648951105989</v>
      </c>
      <c r="P70" s="1">
        <v>2.5867906110000001</v>
      </c>
      <c r="Q70" s="1">
        <f t="shared" si="4"/>
        <v>2.2636357242966572</v>
      </c>
      <c r="R70">
        <f t="shared" si="3"/>
        <v>2.9099454981628283</v>
      </c>
    </row>
    <row r="71" spans="1:18" x14ac:dyDescent="0.4">
      <c r="A71" s="1" t="s">
        <v>2</v>
      </c>
      <c r="B71" s="1">
        <v>2058</v>
      </c>
      <c r="C71" s="1">
        <v>12.48086314</v>
      </c>
      <c r="D71" s="1">
        <v>1.377756489</v>
      </c>
      <c r="E71" s="1">
        <f t="shared" si="5"/>
        <v>11.103106651000001</v>
      </c>
      <c r="F71" s="10">
        <v>436000000</v>
      </c>
      <c r="G71" s="1">
        <v>10.04407969</v>
      </c>
      <c r="H71" s="1">
        <v>13.073156940000001</v>
      </c>
      <c r="I71" s="1">
        <v>11.55861831</v>
      </c>
      <c r="J71" s="1">
        <v>69</v>
      </c>
      <c r="K71" s="1">
        <v>257</v>
      </c>
      <c r="L71" s="1">
        <v>303</v>
      </c>
      <c r="M71" s="1">
        <v>2.2170599229999999</v>
      </c>
      <c r="N71" s="1">
        <f t="shared" si="1"/>
        <v>1.9265560940663384</v>
      </c>
      <c r="O71" s="1">
        <f t="shared" si="2"/>
        <v>2.5075637538517626</v>
      </c>
      <c r="P71" s="1">
        <v>2.5852062180000002</v>
      </c>
      <c r="Q71" s="1">
        <f t="shared" si="4"/>
        <v>2.2464637703462254</v>
      </c>
      <c r="R71">
        <f t="shared" si="3"/>
        <v>2.9239486678903797</v>
      </c>
    </row>
    <row r="72" spans="1:18" x14ac:dyDescent="0.4">
      <c r="A72" s="1" t="s">
        <v>2</v>
      </c>
      <c r="B72" s="1">
        <v>2059</v>
      </c>
      <c r="C72" s="1">
        <v>12.446038959999999</v>
      </c>
      <c r="D72" s="1">
        <v>1.322682133</v>
      </c>
      <c r="E72" s="1">
        <f t="shared" si="5"/>
        <v>11.123356826999999</v>
      </c>
      <c r="F72" s="10">
        <v>436000000</v>
      </c>
      <c r="G72" s="1">
        <v>10.08458972</v>
      </c>
      <c r="H72" s="1">
        <v>12.67389266</v>
      </c>
      <c r="I72" s="1">
        <v>11.37924119</v>
      </c>
      <c r="J72" s="1">
        <v>69</v>
      </c>
      <c r="K72" s="1">
        <v>257</v>
      </c>
      <c r="L72" s="1">
        <v>303</v>
      </c>
      <c r="M72" s="1">
        <v>2.2175744800000001</v>
      </c>
      <c r="N72" s="1">
        <f t="shared" si="1"/>
        <v>1.9652741717079598</v>
      </c>
      <c r="O72" s="1">
        <f t="shared" si="2"/>
        <v>2.4698747882920409</v>
      </c>
      <c r="P72" s="1">
        <v>2.5841530869999998</v>
      </c>
      <c r="Q72" s="1">
        <f t="shared" si="4"/>
        <v>2.2901459966388553</v>
      </c>
      <c r="R72">
        <f t="shared" si="3"/>
        <v>2.8781601773611438</v>
      </c>
    </row>
    <row r="73" spans="1:18" x14ac:dyDescent="0.4">
      <c r="A73" s="1" t="s">
        <v>2</v>
      </c>
      <c r="B73" s="1">
        <v>2060</v>
      </c>
      <c r="C73" s="1">
        <v>12.467343769999999</v>
      </c>
      <c r="D73" s="1">
        <v>1.270694735</v>
      </c>
      <c r="E73" s="1">
        <f t="shared" si="5"/>
        <v>11.196649035</v>
      </c>
      <c r="F73" s="10">
        <v>436000000</v>
      </c>
      <c r="G73" s="1">
        <v>9.8301484420000005</v>
      </c>
      <c r="H73" s="1">
        <v>12.89423998</v>
      </c>
      <c r="I73" s="1">
        <v>11.36219421</v>
      </c>
      <c r="J73" s="1">
        <v>69</v>
      </c>
      <c r="K73" s="1">
        <v>257</v>
      </c>
      <c r="L73" s="1">
        <v>304</v>
      </c>
      <c r="M73" s="1">
        <v>2.2219005049999998</v>
      </c>
      <c r="N73" s="1">
        <f t="shared" si="1"/>
        <v>1.922305796206309</v>
      </c>
      <c r="O73" s="1">
        <f t="shared" si="2"/>
        <v>2.5214952141847951</v>
      </c>
      <c r="P73" s="1">
        <v>2.584911226</v>
      </c>
      <c r="Q73" s="1">
        <f t="shared" si="4"/>
        <v>2.2363691899059881</v>
      </c>
      <c r="R73">
        <f t="shared" si="3"/>
        <v>2.9334532625490142</v>
      </c>
    </row>
    <row r="74" spans="1:18" x14ac:dyDescent="0.4">
      <c r="A74" s="1" t="s">
        <v>2</v>
      </c>
      <c r="B74" s="1">
        <v>2061</v>
      </c>
      <c r="C74" s="1">
        <v>12.456447170000001</v>
      </c>
      <c r="D74" s="1">
        <v>1.336793329</v>
      </c>
      <c r="E74" s="1">
        <f t="shared" si="5"/>
        <v>11.119653841</v>
      </c>
      <c r="F74" s="10">
        <v>436000000</v>
      </c>
      <c r="G74" s="1">
        <v>9.8668764249999992</v>
      </c>
      <c r="H74" s="1">
        <v>12.55882779</v>
      </c>
      <c r="I74" s="1">
        <v>11.21285211</v>
      </c>
      <c r="J74" s="1">
        <v>69</v>
      </c>
      <c r="K74" s="1">
        <v>257</v>
      </c>
      <c r="L74" s="1">
        <v>305</v>
      </c>
      <c r="M74" s="1">
        <v>2.21728361</v>
      </c>
      <c r="N74" s="1">
        <f t="shared" si="1"/>
        <v>1.9511238678994662</v>
      </c>
      <c r="O74" s="1">
        <f t="shared" si="2"/>
        <v>2.4834433511118092</v>
      </c>
      <c r="P74" s="1">
        <v>2.5836204989999998</v>
      </c>
      <c r="Q74" s="1">
        <f t="shared" si="4"/>
        <v>2.2734861694996376</v>
      </c>
      <c r="R74">
        <f t="shared" si="3"/>
        <v>2.8937548273482814</v>
      </c>
    </row>
    <row r="75" spans="1:18" x14ac:dyDescent="0.4">
      <c r="A75" s="1" t="s">
        <v>2</v>
      </c>
      <c r="B75" s="1">
        <v>2062</v>
      </c>
      <c r="C75" s="1">
        <v>12.461918819999999</v>
      </c>
      <c r="D75" s="1">
        <v>1.353092969</v>
      </c>
      <c r="E75" s="1">
        <f t="shared" si="5"/>
        <v>11.108825850999999</v>
      </c>
      <c r="F75" s="10">
        <v>436000000</v>
      </c>
      <c r="G75" s="1">
        <v>9.9100330420000002</v>
      </c>
      <c r="H75" s="1">
        <v>12.69285715</v>
      </c>
      <c r="I75" s="1">
        <v>11.30144509</v>
      </c>
      <c r="J75" s="1">
        <v>69</v>
      </c>
      <c r="K75" s="1">
        <v>257</v>
      </c>
      <c r="L75" s="1">
        <v>306</v>
      </c>
      <c r="M75" s="1">
        <v>2.215203974</v>
      </c>
      <c r="N75" s="1">
        <f t="shared" si="1"/>
        <v>1.9424723477650157</v>
      </c>
      <c r="O75" s="1">
        <f t="shared" si="2"/>
        <v>2.4879356025871129</v>
      </c>
      <c r="P75" s="1">
        <v>2.5812768450000001</v>
      </c>
      <c r="Q75" s="1">
        <f t="shared" si="4"/>
        <v>2.2634750353416542</v>
      </c>
      <c r="R75">
        <f t="shared" si="3"/>
        <v>2.8990786573991745</v>
      </c>
    </row>
    <row r="76" spans="1:18" x14ac:dyDescent="0.4">
      <c r="A76" s="1" t="s">
        <v>2</v>
      </c>
      <c r="B76" s="1">
        <v>2063</v>
      </c>
      <c r="C76" s="1">
        <v>12.4698221</v>
      </c>
      <c r="D76" s="1">
        <v>1.270423549</v>
      </c>
      <c r="E76" s="1">
        <f t="shared" si="5"/>
        <v>11.199398551</v>
      </c>
      <c r="F76" s="10">
        <v>436000000</v>
      </c>
      <c r="G76" s="1">
        <v>10.161199079999999</v>
      </c>
      <c r="H76" s="1">
        <v>12.885794669999999</v>
      </c>
      <c r="I76" s="1">
        <v>11.52349688</v>
      </c>
      <c r="J76" s="1">
        <v>69</v>
      </c>
      <c r="K76" s="1">
        <v>257</v>
      </c>
      <c r="L76" s="1">
        <v>306</v>
      </c>
      <c r="M76" s="1">
        <v>2.2192353050000002</v>
      </c>
      <c r="N76" s="1">
        <f t="shared" si="1"/>
        <v>1.9568792333000153</v>
      </c>
      <c r="O76" s="1">
        <f t="shared" si="2"/>
        <v>2.4815913747741498</v>
      </c>
      <c r="P76" s="1">
        <v>2.5801996620000001</v>
      </c>
      <c r="Q76" s="1">
        <f t="shared" si="4"/>
        <v>2.2751706972936421</v>
      </c>
      <c r="R76">
        <f t="shared" si="3"/>
        <v>2.8852286244672807</v>
      </c>
    </row>
    <row r="77" spans="1:18" x14ac:dyDescent="0.4">
      <c r="A77" s="1" t="s">
        <v>2</v>
      </c>
      <c r="B77" s="1">
        <v>2064</v>
      </c>
      <c r="C77" s="1">
        <v>12.41345516</v>
      </c>
      <c r="D77" s="1">
        <v>1.3648797370000001</v>
      </c>
      <c r="E77" s="1">
        <f t="shared" si="5"/>
        <v>11.048575422999999</v>
      </c>
      <c r="F77" s="10">
        <v>436000000</v>
      </c>
      <c r="G77" s="1">
        <v>10.17121994</v>
      </c>
      <c r="H77" s="1">
        <v>12.586943359999999</v>
      </c>
      <c r="I77" s="1">
        <v>11.37908165</v>
      </c>
      <c r="J77" s="1">
        <v>69</v>
      </c>
      <c r="K77" s="1">
        <v>257</v>
      </c>
      <c r="L77" s="1">
        <v>307</v>
      </c>
      <c r="M77" s="1">
        <v>2.2104834100000001</v>
      </c>
      <c r="N77" s="1">
        <f t="shared" si="1"/>
        <v>1.9758459978034517</v>
      </c>
      <c r="O77" s="1">
        <f t="shared" si="2"/>
        <v>2.4451208221965484</v>
      </c>
      <c r="P77" s="1">
        <v>2.5787213109999998</v>
      </c>
      <c r="Q77" s="1">
        <f t="shared" si="4"/>
        <v>2.3049963454780329</v>
      </c>
      <c r="R77">
        <f t="shared" si="3"/>
        <v>2.8524462765219667</v>
      </c>
    </row>
    <row r="78" spans="1:18" x14ac:dyDescent="0.4">
      <c r="A78" s="1" t="s">
        <v>2</v>
      </c>
      <c r="B78" s="1">
        <v>2065</v>
      </c>
      <c r="C78" s="1">
        <v>12.42300142</v>
      </c>
      <c r="D78" s="1">
        <v>1.2979427830000001</v>
      </c>
      <c r="E78" s="1">
        <f t="shared" si="5"/>
        <v>11.125058637</v>
      </c>
      <c r="F78" s="10">
        <v>436000000</v>
      </c>
      <c r="G78" s="1">
        <v>9.9276909270000004</v>
      </c>
      <c r="H78" s="1">
        <v>12.68082967</v>
      </c>
      <c r="I78" s="1">
        <v>11.304260299999999</v>
      </c>
      <c r="J78" s="1">
        <v>69</v>
      </c>
      <c r="K78" s="1">
        <v>257</v>
      </c>
      <c r="L78" s="1">
        <v>308</v>
      </c>
      <c r="M78" s="1">
        <v>2.2129943230000002</v>
      </c>
      <c r="N78" s="1">
        <f t="shared" si="1"/>
        <v>1.9435082950053453</v>
      </c>
      <c r="O78" s="1">
        <f t="shared" si="2"/>
        <v>2.4824803504073563</v>
      </c>
      <c r="P78" s="1">
        <v>2.5766418450000002</v>
      </c>
      <c r="Q78" s="1">
        <f t="shared" si="4"/>
        <v>2.2628728627856391</v>
      </c>
      <c r="R78">
        <f t="shared" si="3"/>
        <v>2.8904108265305557</v>
      </c>
    </row>
    <row r="79" spans="1:18" x14ac:dyDescent="0.4">
      <c r="A79" s="1" t="s">
        <v>2</v>
      </c>
      <c r="B79" s="1">
        <v>2066</v>
      </c>
      <c r="C79" s="1">
        <v>12.448654550000001</v>
      </c>
      <c r="D79" s="1">
        <v>1.2981057899999999</v>
      </c>
      <c r="E79" s="1">
        <f t="shared" si="5"/>
        <v>11.150548760000001</v>
      </c>
      <c r="F79" s="10">
        <v>436000000</v>
      </c>
      <c r="G79" s="1">
        <v>9.9253561480000005</v>
      </c>
      <c r="H79" s="1">
        <v>12.574466839999999</v>
      </c>
      <c r="I79" s="1">
        <v>11.2499115</v>
      </c>
      <c r="J79" s="1">
        <v>69</v>
      </c>
      <c r="K79" s="1">
        <v>257</v>
      </c>
      <c r="L79" s="1">
        <v>309</v>
      </c>
      <c r="M79" s="1">
        <v>2.2137060169999998</v>
      </c>
      <c r="N79" s="1">
        <f t="shared" si="1"/>
        <v>1.953066086403928</v>
      </c>
      <c r="O79" s="1">
        <f t="shared" si="2"/>
        <v>2.4743459452347669</v>
      </c>
      <c r="P79" s="1">
        <v>2.5755295440000001</v>
      </c>
      <c r="Q79" s="1">
        <f t="shared" si="4"/>
        <v>2.2722888081293831</v>
      </c>
      <c r="R79">
        <f t="shared" si="3"/>
        <v>2.8787702771233641</v>
      </c>
    </row>
    <row r="80" spans="1:18" x14ac:dyDescent="0.4">
      <c r="A80" s="1" t="s">
        <v>2</v>
      </c>
      <c r="B80" s="1">
        <v>2067</v>
      </c>
      <c r="C80" s="1">
        <v>12.339511630000001</v>
      </c>
      <c r="D80" s="1">
        <v>1.2995397710000001</v>
      </c>
      <c r="E80" s="1">
        <f t="shared" si="5"/>
        <v>11.039971859000001</v>
      </c>
      <c r="F80" s="10">
        <v>436000000</v>
      </c>
      <c r="G80" s="1">
        <v>9.8685048640000002</v>
      </c>
      <c r="H80" s="1">
        <v>12.52496646</v>
      </c>
      <c r="I80" s="1">
        <v>11.19673566</v>
      </c>
      <c r="J80" s="1">
        <v>69</v>
      </c>
      <c r="K80" s="1">
        <v>257</v>
      </c>
      <c r="L80" s="1">
        <v>309</v>
      </c>
      <c r="M80" s="1">
        <v>2.2063820829999998</v>
      </c>
      <c r="N80" s="1">
        <f t="shared" si="1"/>
        <v>1.9446464558160292</v>
      </c>
      <c r="O80" s="1">
        <f t="shared" si="2"/>
        <v>2.4681177109721935</v>
      </c>
      <c r="P80" s="1">
        <v>2.5728124480000001</v>
      </c>
      <c r="Q80" s="1">
        <f t="shared" si="4"/>
        <v>2.2676084287630447</v>
      </c>
      <c r="R80">
        <f t="shared" si="3"/>
        <v>2.8780164681560851</v>
      </c>
    </row>
    <row r="81" spans="1:18" x14ac:dyDescent="0.4">
      <c r="A81" s="1" t="s">
        <v>2</v>
      </c>
      <c r="B81" s="1">
        <v>2068</v>
      </c>
      <c r="C81" s="1">
        <v>12.37648357</v>
      </c>
      <c r="D81" s="1">
        <v>1.304467966</v>
      </c>
      <c r="E81" s="1">
        <f t="shared" si="5"/>
        <v>11.072015603999999</v>
      </c>
      <c r="F81" s="10">
        <v>436000000</v>
      </c>
      <c r="G81" s="1">
        <v>10.38863901</v>
      </c>
      <c r="H81" s="1">
        <v>12.68036897</v>
      </c>
      <c r="I81" s="1">
        <v>11.534503989999999</v>
      </c>
      <c r="J81" s="1">
        <v>69</v>
      </c>
      <c r="K81" s="1">
        <v>257</v>
      </c>
      <c r="L81" s="1">
        <v>310</v>
      </c>
      <c r="M81" s="1">
        <v>2.206831733</v>
      </c>
      <c r="N81" s="1">
        <f t="shared" si="1"/>
        <v>1.9875998352270463</v>
      </c>
      <c r="O81" s="1">
        <f t="shared" si="2"/>
        <v>2.4260636307729539</v>
      </c>
      <c r="P81" s="1">
        <v>2.5713661769999998</v>
      </c>
      <c r="Q81" s="1">
        <f t="shared" si="4"/>
        <v>2.3159205630806468</v>
      </c>
      <c r="R81">
        <f t="shared" si="3"/>
        <v>2.8268117909193533</v>
      </c>
    </row>
    <row r="82" spans="1:18" x14ac:dyDescent="0.4">
      <c r="A82" s="1" t="s">
        <v>2</v>
      </c>
      <c r="B82" s="1">
        <v>2069</v>
      </c>
      <c r="C82" s="1">
        <v>12.36900198</v>
      </c>
      <c r="D82" s="1">
        <v>1.268168532</v>
      </c>
      <c r="E82" s="1">
        <f t="shared" si="5"/>
        <v>11.100833447999999</v>
      </c>
      <c r="F82" s="10">
        <v>436000000</v>
      </c>
      <c r="G82" s="1">
        <v>10.09146748</v>
      </c>
      <c r="H82" s="1">
        <v>12.701900009999999</v>
      </c>
      <c r="I82" s="1">
        <v>11.396683749999999</v>
      </c>
      <c r="J82" s="1">
        <v>69</v>
      </c>
      <c r="K82" s="1">
        <v>257</v>
      </c>
      <c r="L82" s="1">
        <v>311</v>
      </c>
      <c r="M82" s="1">
        <v>2.2075509680000001</v>
      </c>
      <c r="N82" s="1">
        <f t="shared" si="1"/>
        <v>1.9547290503708612</v>
      </c>
      <c r="O82" s="1">
        <f t="shared" si="2"/>
        <v>2.4603728836921275</v>
      </c>
      <c r="P82" s="1">
        <v>2.5700648830000001</v>
      </c>
      <c r="Q82" s="1">
        <f t="shared" si="4"/>
        <v>2.2757257073387258</v>
      </c>
      <c r="R82">
        <f t="shared" si="3"/>
        <v>2.8644040564061761</v>
      </c>
    </row>
    <row r="83" spans="1:18" x14ac:dyDescent="0.4">
      <c r="A83" s="1" t="s">
        <v>2</v>
      </c>
      <c r="B83" s="1">
        <v>2070</v>
      </c>
      <c r="C83" s="1">
        <v>12.34685316</v>
      </c>
      <c r="D83" s="1">
        <v>1.32301253</v>
      </c>
      <c r="E83" s="1">
        <f t="shared" si="5"/>
        <v>11.02384063</v>
      </c>
      <c r="F83" s="10">
        <v>436000000</v>
      </c>
      <c r="G83" s="1">
        <v>9.8725658529999993</v>
      </c>
      <c r="H83" s="1">
        <v>12.671220290000001</v>
      </c>
      <c r="I83" s="1">
        <v>11.271893070000001</v>
      </c>
      <c r="J83" s="1">
        <v>69</v>
      </c>
      <c r="K83" s="1">
        <v>257</v>
      </c>
      <c r="L83" s="1">
        <v>312</v>
      </c>
      <c r="M83" s="1">
        <v>2.2022230989999998</v>
      </c>
      <c r="N83" s="1">
        <f t="shared" si="1"/>
        <v>1.9288324004545612</v>
      </c>
      <c r="O83" s="1">
        <f t="shared" si="2"/>
        <v>2.4756137981315569</v>
      </c>
      <c r="P83" s="1">
        <v>2.5677010689999999</v>
      </c>
      <c r="Q83" s="1">
        <f t="shared" si="4"/>
        <v>2.2489388195128601</v>
      </c>
      <c r="R83">
        <f t="shared" si="3"/>
        <v>2.8864633191705296</v>
      </c>
    </row>
    <row r="84" spans="1:18" x14ac:dyDescent="0.4">
      <c r="A84" s="1" t="s">
        <v>2</v>
      </c>
      <c r="B84" s="1">
        <v>2071</v>
      </c>
      <c r="C84" s="1">
        <v>12.33701153</v>
      </c>
      <c r="D84" s="1">
        <v>1.2777437380000001</v>
      </c>
      <c r="E84" s="1">
        <f t="shared" si="5"/>
        <v>11.059267792</v>
      </c>
      <c r="F84" s="10">
        <v>436000000</v>
      </c>
      <c r="G84" s="1">
        <v>10.37031897</v>
      </c>
      <c r="H84" s="1">
        <v>12.69953162</v>
      </c>
      <c r="I84" s="1">
        <v>11.534925299999999</v>
      </c>
      <c r="J84" s="1">
        <v>69</v>
      </c>
      <c r="K84" s="1">
        <v>257</v>
      </c>
      <c r="L84" s="1">
        <v>312</v>
      </c>
      <c r="M84" s="1">
        <v>2.2025274100000001</v>
      </c>
      <c r="N84" s="1">
        <f t="shared" si="1"/>
        <v>1.9801525530354296</v>
      </c>
      <c r="O84" s="1">
        <f t="shared" si="2"/>
        <v>2.4249022650551284</v>
      </c>
      <c r="P84" s="1">
        <v>2.565467876</v>
      </c>
      <c r="Q84" s="1">
        <f t="shared" si="4"/>
        <v>2.3064492824594547</v>
      </c>
      <c r="R84">
        <f t="shared" si="3"/>
        <v>2.8244864673164587</v>
      </c>
    </row>
    <row r="85" spans="1:18" x14ac:dyDescent="0.4">
      <c r="A85" s="1" t="s">
        <v>2</v>
      </c>
      <c r="B85" s="1">
        <v>2072</v>
      </c>
      <c r="C85" s="1">
        <v>12.36374661</v>
      </c>
      <c r="D85" s="1">
        <v>1.27751814</v>
      </c>
      <c r="E85" s="1">
        <f t="shared" si="5"/>
        <v>11.08622847</v>
      </c>
      <c r="F85" s="10">
        <v>436000000</v>
      </c>
      <c r="G85" s="1">
        <v>9.9840234720000005</v>
      </c>
      <c r="H85" s="1">
        <v>12.66262006</v>
      </c>
      <c r="I85" s="1">
        <v>11.323321760000001</v>
      </c>
      <c r="J85" s="1">
        <v>69</v>
      </c>
      <c r="K85" s="1">
        <v>257</v>
      </c>
      <c r="L85" s="1">
        <v>313</v>
      </c>
      <c r="M85" s="1">
        <v>2.2036625669999999</v>
      </c>
      <c r="N85" s="1">
        <f t="shared" si="1"/>
        <v>1.9430180701052313</v>
      </c>
      <c r="O85" s="1">
        <f t="shared" si="2"/>
        <v>2.4643070662301212</v>
      </c>
      <c r="P85" s="1">
        <v>2.5652348470000002</v>
      </c>
      <c r="Q85" s="1">
        <f t="shared" si="4"/>
        <v>2.2618243538846792</v>
      </c>
      <c r="R85">
        <f t="shared" si="3"/>
        <v>2.8686453428338532</v>
      </c>
    </row>
    <row r="86" spans="1:18" x14ac:dyDescent="0.4">
      <c r="A86" s="1" t="s">
        <v>2</v>
      </c>
      <c r="B86" s="1">
        <v>2073</v>
      </c>
      <c r="C86" s="1">
        <v>12.39379023</v>
      </c>
      <c r="D86" s="1">
        <v>1.3457577380000001</v>
      </c>
      <c r="E86" s="1">
        <f t="shared" si="5"/>
        <v>11.048032492000001</v>
      </c>
      <c r="F86" s="10">
        <v>436000000</v>
      </c>
      <c r="G86" s="1">
        <v>9.6008885730000006</v>
      </c>
      <c r="H86" s="1">
        <v>12.58432709</v>
      </c>
      <c r="I86" s="1">
        <v>11.09260783</v>
      </c>
      <c r="J86" s="1">
        <v>69</v>
      </c>
      <c r="K86" s="1">
        <v>257</v>
      </c>
      <c r="L86" s="1">
        <v>314</v>
      </c>
      <c r="M86" s="1">
        <v>2.2008487419999998</v>
      </c>
      <c r="N86" s="1">
        <f t="shared" si="1"/>
        <v>1.9048815086406261</v>
      </c>
      <c r="O86" s="1">
        <f t="shared" si="2"/>
        <v>2.4968159759545938</v>
      </c>
      <c r="P86" s="1">
        <v>2.5636203480000002</v>
      </c>
      <c r="Q86" s="1">
        <f t="shared" si="4"/>
        <v>2.2188680679810426</v>
      </c>
      <c r="R86">
        <f t="shared" si="3"/>
        <v>2.9083726287122897</v>
      </c>
    </row>
    <row r="87" spans="1:18" x14ac:dyDescent="0.4">
      <c r="A87" s="1" t="s">
        <v>2</v>
      </c>
      <c r="B87" s="1">
        <v>2074</v>
      </c>
      <c r="C87" s="1">
        <v>12.37175948</v>
      </c>
      <c r="D87" s="1">
        <v>1.2415983370000001</v>
      </c>
      <c r="E87" s="1">
        <f t="shared" si="5"/>
        <v>11.130161142999999</v>
      </c>
      <c r="F87" s="10">
        <v>436000000</v>
      </c>
      <c r="G87" s="1">
        <v>9.8749781910000003</v>
      </c>
      <c r="H87" s="1">
        <v>12.874223969999999</v>
      </c>
      <c r="I87" s="1">
        <v>11.37460108</v>
      </c>
      <c r="J87" s="1">
        <v>69</v>
      </c>
      <c r="K87" s="1">
        <v>257</v>
      </c>
      <c r="L87" s="1">
        <v>315</v>
      </c>
      <c r="M87" s="1">
        <v>2.2043461049999999</v>
      </c>
      <c r="N87" s="1">
        <f t="shared" si="1"/>
        <v>1.9137259899659529</v>
      </c>
      <c r="O87" s="1">
        <f t="shared" si="2"/>
        <v>2.4949662202278424</v>
      </c>
      <c r="P87" s="1">
        <v>2.5625745590000002</v>
      </c>
      <c r="Q87" s="1">
        <f t="shared" si="4"/>
        <v>2.2247257468599018</v>
      </c>
      <c r="R87">
        <f t="shared" si="3"/>
        <v>2.9004233713653873</v>
      </c>
    </row>
    <row r="88" spans="1:18" x14ac:dyDescent="0.4">
      <c r="A88" s="1" t="s">
        <v>2</v>
      </c>
      <c r="B88" s="1">
        <v>2075</v>
      </c>
      <c r="C88" s="1">
        <v>12.37030068</v>
      </c>
      <c r="D88" s="1">
        <v>1.350147158</v>
      </c>
      <c r="E88" s="1">
        <f t="shared" si="5"/>
        <v>11.020153521999999</v>
      </c>
      <c r="F88" s="10">
        <v>436000000</v>
      </c>
      <c r="G88" s="1">
        <v>9.6098998150000003</v>
      </c>
      <c r="H88" s="1">
        <v>12.678867629999999</v>
      </c>
      <c r="I88" s="1">
        <v>11.14438372</v>
      </c>
      <c r="J88" s="1">
        <v>69</v>
      </c>
      <c r="K88" s="1">
        <v>257</v>
      </c>
      <c r="L88" s="1">
        <v>316</v>
      </c>
      <c r="M88" s="1">
        <v>2.1975279400000001</v>
      </c>
      <c r="N88" s="1">
        <f t="shared" si="1"/>
        <v>1.8949476143902313</v>
      </c>
      <c r="O88" s="1">
        <f t="shared" si="2"/>
        <v>2.5001082665957037</v>
      </c>
      <c r="P88" s="1">
        <v>2.560289134</v>
      </c>
      <c r="Q88" s="1">
        <f t="shared" si="4"/>
        <v>2.2077597732944096</v>
      </c>
      <c r="R88">
        <f t="shared" si="3"/>
        <v>2.91281849585428</v>
      </c>
    </row>
    <row r="89" spans="1:18" x14ac:dyDescent="0.4">
      <c r="A89" s="1" t="s">
        <v>2</v>
      </c>
      <c r="B89" s="1">
        <v>2076</v>
      </c>
      <c r="C89" s="1">
        <v>12.37633196</v>
      </c>
      <c r="D89" s="1">
        <v>1.3058844220000001</v>
      </c>
      <c r="E89" s="1">
        <f t="shared" si="5"/>
        <v>11.070447538</v>
      </c>
      <c r="F89" s="10">
        <v>436000000</v>
      </c>
      <c r="G89" s="1">
        <v>9.8099809039999997</v>
      </c>
      <c r="H89" s="1">
        <v>12.60262751</v>
      </c>
      <c r="I89" s="1">
        <v>11.206304210000001</v>
      </c>
      <c r="J89" s="1">
        <v>69</v>
      </c>
      <c r="K89" s="1">
        <v>257</v>
      </c>
      <c r="L89" s="1">
        <v>316</v>
      </c>
      <c r="M89" s="1">
        <v>2.1985259020000001</v>
      </c>
      <c r="N89" s="1">
        <f t="shared" si="1"/>
        <v>1.92458608220929</v>
      </c>
      <c r="O89" s="1">
        <f t="shared" si="2"/>
        <v>2.4724657206135903</v>
      </c>
      <c r="P89" s="1">
        <v>2.5580578460000001</v>
      </c>
      <c r="Q89" s="1">
        <f t="shared" si="4"/>
        <v>2.2393197748633464</v>
      </c>
      <c r="R89">
        <f t="shared" si="3"/>
        <v>2.876795915767036</v>
      </c>
    </row>
    <row r="90" spans="1:18" x14ac:dyDescent="0.4">
      <c r="A90" s="1" t="s">
        <v>2</v>
      </c>
      <c r="B90" s="1">
        <v>2077</v>
      </c>
      <c r="C90" s="1">
        <v>12.3979412</v>
      </c>
      <c r="D90" s="1">
        <v>1.341194212</v>
      </c>
      <c r="E90" s="1">
        <f t="shared" si="5"/>
        <v>11.056746988</v>
      </c>
      <c r="F90" s="10">
        <v>436000000</v>
      </c>
      <c r="G90" s="1">
        <v>9.6119444519999995</v>
      </c>
      <c r="H90" s="1">
        <v>12.719420149999999</v>
      </c>
      <c r="I90" s="1">
        <v>11.1656823</v>
      </c>
      <c r="J90" s="1">
        <v>69</v>
      </c>
      <c r="K90" s="1">
        <v>257</v>
      </c>
      <c r="L90" s="1">
        <v>317</v>
      </c>
      <c r="M90" s="1">
        <v>2.197371628</v>
      </c>
      <c r="N90" s="1">
        <f t="shared" si="1"/>
        <v>1.8916008409747431</v>
      </c>
      <c r="O90" s="1">
        <f t="shared" si="2"/>
        <v>2.50314241541885</v>
      </c>
      <c r="P90" s="1">
        <v>2.557430879</v>
      </c>
      <c r="Q90" s="1">
        <f t="shared" si="4"/>
        <v>2.2015567780195155</v>
      </c>
      <c r="R90">
        <f t="shared" si="3"/>
        <v>2.9133049804385718</v>
      </c>
    </row>
    <row r="91" spans="1:18" x14ac:dyDescent="0.4">
      <c r="A91" s="1" t="s">
        <v>2</v>
      </c>
      <c r="B91" s="1">
        <v>2078</v>
      </c>
      <c r="C91" s="1">
        <v>12.425082919999999</v>
      </c>
      <c r="D91" s="1">
        <v>1.2979989329999999</v>
      </c>
      <c r="E91" s="1">
        <f t="shared" si="5"/>
        <v>11.127083986999999</v>
      </c>
      <c r="F91" s="10">
        <v>436000000</v>
      </c>
      <c r="G91" s="1">
        <v>9.5501276209999997</v>
      </c>
      <c r="H91" s="1">
        <v>12.84716628</v>
      </c>
      <c r="I91" s="1">
        <v>11.198646950000001</v>
      </c>
      <c r="J91" s="1">
        <v>69</v>
      </c>
      <c r="K91" s="1">
        <v>257</v>
      </c>
      <c r="L91" s="1">
        <v>318</v>
      </c>
      <c r="M91" s="1">
        <v>2.2004843159999998</v>
      </c>
      <c r="N91" s="1">
        <f t="shared" si="1"/>
        <v>1.8765576001848052</v>
      </c>
      <c r="O91" s="1">
        <f t="shared" si="2"/>
        <v>2.5244110320116899</v>
      </c>
      <c r="P91" s="1">
        <v>2.5566750260000002</v>
      </c>
      <c r="Q91" s="1">
        <f t="shared" si="4"/>
        <v>2.1803145409208113</v>
      </c>
      <c r="R91">
        <f t="shared" si="3"/>
        <v>2.9330355113074909</v>
      </c>
    </row>
    <row r="92" spans="1:18" x14ac:dyDescent="0.4">
      <c r="A92" s="1" t="s">
        <v>2</v>
      </c>
      <c r="B92" s="1">
        <v>2079</v>
      </c>
      <c r="C92" s="1">
        <v>12.44808855</v>
      </c>
      <c r="D92" s="1">
        <v>1.3238979289999999</v>
      </c>
      <c r="E92" s="1">
        <f t="shared" si="5"/>
        <v>11.124190621</v>
      </c>
      <c r="F92" s="10">
        <v>436000000</v>
      </c>
      <c r="G92" s="1">
        <v>10.017822410000001</v>
      </c>
      <c r="H92" s="1">
        <v>12.60732724</v>
      </c>
      <c r="I92" s="1">
        <v>11.31257482</v>
      </c>
      <c r="J92" s="1">
        <v>69</v>
      </c>
      <c r="K92" s="1">
        <v>257</v>
      </c>
      <c r="L92" s="1">
        <v>319</v>
      </c>
      <c r="M92" s="1">
        <v>2.1999171899999999</v>
      </c>
      <c r="N92" s="1">
        <f t="shared" si="1"/>
        <v>1.9481311793990175</v>
      </c>
      <c r="O92" s="1">
        <f t="shared" si="2"/>
        <v>2.4517032025456476</v>
      </c>
      <c r="P92" s="1">
        <v>2.5557283310000001</v>
      </c>
      <c r="Q92" s="1">
        <f t="shared" si="4"/>
        <v>2.2632188476578579</v>
      </c>
      <c r="R92">
        <f t="shared" si="3"/>
        <v>2.8482378166013347</v>
      </c>
    </row>
    <row r="93" spans="1:18" x14ac:dyDescent="0.4">
      <c r="A93" s="1" t="s">
        <v>2</v>
      </c>
      <c r="B93" s="1">
        <v>2080</v>
      </c>
      <c r="C93" s="1">
        <v>12.40394998</v>
      </c>
      <c r="D93" s="1">
        <v>1.3102520120000001</v>
      </c>
      <c r="E93" s="1">
        <f t="shared" si="5"/>
        <v>11.093697968000001</v>
      </c>
      <c r="F93" s="10">
        <v>436000000</v>
      </c>
      <c r="G93" s="1">
        <v>9.6973291879999994</v>
      </c>
      <c r="H93" s="1">
        <v>12.784044079999999</v>
      </c>
      <c r="I93" s="1">
        <v>11.240686630000001</v>
      </c>
      <c r="J93" s="1">
        <v>69</v>
      </c>
      <c r="K93" s="1">
        <v>257</v>
      </c>
      <c r="L93" s="1">
        <v>319</v>
      </c>
      <c r="M93" s="1">
        <v>2.1972960289999999</v>
      </c>
      <c r="N93" s="1">
        <f t="shared" si="1"/>
        <v>1.8956051011892849</v>
      </c>
      <c r="O93" s="1">
        <f t="shared" si="2"/>
        <v>2.4989869583745303</v>
      </c>
      <c r="P93" s="1">
        <v>2.553855279</v>
      </c>
      <c r="Q93" s="1">
        <f t="shared" si="4"/>
        <v>2.2032084119201691</v>
      </c>
      <c r="R93">
        <f t="shared" si="3"/>
        <v>2.9045021478974093</v>
      </c>
    </row>
    <row r="94" spans="1:18" x14ac:dyDescent="0.4">
      <c r="A94" s="1" t="s">
        <v>2</v>
      </c>
      <c r="B94" s="1">
        <v>2081</v>
      </c>
      <c r="C94" s="1">
        <v>12.409663699999999</v>
      </c>
      <c r="D94" s="1">
        <v>1.3211469840000001</v>
      </c>
      <c r="E94" s="1">
        <f t="shared" si="5"/>
        <v>11.088516715999999</v>
      </c>
      <c r="F94" s="10">
        <v>436000000</v>
      </c>
      <c r="G94" s="1">
        <v>9.7729424819999995</v>
      </c>
      <c r="H94" s="1">
        <v>12.739716619999999</v>
      </c>
      <c r="I94" s="1">
        <v>11.25632955</v>
      </c>
      <c r="J94" s="1">
        <v>69</v>
      </c>
      <c r="K94" s="1">
        <v>257</v>
      </c>
      <c r="L94" s="1">
        <v>320</v>
      </c>
      <c r="M94" s="1">
        <v>2.1963206149999999</v>
      </c>
      <c r="N94" s="1">
        <f t="shared" si="1"/>
        <v>1.9068840288552018</v>
      </c>
      <c r="O94" s="1">
        <f t="shared" si="2"/>
        <v>2.4857572015350349</v>
      </c>
      <c r="P94" s="1">
        <v>2.552935003</v>
      </c>
      <c r="Q94" s="1">
        <f t="shared" si="4"/>
        <v>2.2165028870004515</v>
      </c>
      <c r="R94">
        <f t="shared" si="3"/>
        <v>2.8893671194531474</v>
      </c>
    </row>
    <row r="95" spans="1:18" x14ac:dyDescent="0.4">
      <c r="A95" s="1" t="s">
        <v>2</v>
      </c>
      <c r="B95" s="1">
        <v>2082</v>
      </c>
      <c r="C95" s="1">
        <v>12.30510267</v>
      </c>
      <c r="D95" s="1">
        <v>1.270123063</v>
      </c>
      <c r="E95" s="1">
        <f t="shared" si="5"/>
        <v>11.034979607</v>
      </c>
      <c r="F95" s="10">
        <v>436000000</v>
      </c>
      <c r="G95" s="1">
        <v>9.8374892680000006</v>
      </c>
      <c r="H95" s="1">
        <v>12.5138941</v>
      </c>
      <c r="I95" s="1">
        <v>11.175691690000001</v>
      </c>
      <c r="J95" s="1">
        <v>69</v>
      </c>
      <c r="K95" s="1">
        <v>257</v>
      </c>
      <c r="L95" s="1">
        <v>321</v>
      </c>
      <c r="M95" s="1">
        <v>2.1922559750000001</v>
      </c>
      <c r="N95" s="1">
        <f t="shared" si="1"/>
        <v>1.9297503210534055</v>
      </c>
      <c r="O95" s="1">
        <f t="shared" si="2"/>
        <v>2.45476162659264</v>
      </c>
      <c r="P95" s="1">
        <v>2.5505996729999998</v>
      </c>
      <c r="Q95" s="1">
        <f t="shared" si="4"/>
        <v>2.245185139865093</v>
      </c>
      <c r="R95">
        <f t="shared" si="3"/>
        <v>2.8560142033961773</v>
      </c>
    </row>
    <row r="96" spans="1:18" x14ac:dyDescent="0.4">
      <c r="A96" s="1" t="s">
        <v>2</v>
      </c>
      <c r="B96" s="1">
        <v>2083</v>
      </c>
      <c r="C96" s="1">
        <v>12.34445968</v>
      </c>
      <c r="D96" s="1">
        <v>1.236682361</v>
      </c>
      <c r="E96" s="1">
        <f t="shared" si="5"/>
        <v>11.107777319</v>
      </c>
      <c r="F96" s="10">
        <v>436000000</v>
      </c>
      <c r="G96" s="1">
        <v>10.004634100000001</v>
      </c>
      <c r="H96" s="1">
        <v>12.798350859999999</v>
      </c>
      <c r="I96" s="1">
        <v>11.40149248</v>
      </c>
      <c r="J96" s="1">
        <v>69</v>
      </c>
      <c r="K96" s="1">
        <v>257</v>
      </c>
      <c r="L96" s="1">
        <v>322</v>
      </c>
      <c r="M96" s="1">
        <v>2.194795746</v>
      </c>
      <c r="N96" s="1">
        <f t="shared" si="1"/>
        <v>1.9258994733789923</v>
      </c>
      <c r="O96" s="1">
        <f t="shared" si="2"/>
        <v>2.4636920186210078</v>
      </c>
      <c r="P96" s="1">
        <v>2.5490306899999999</v>
      </c>
      <c r="Q96" s="1">
        <f t="shared" si="4"/>
        <v>2.2367351825083635</v>
      </c>
      <c r="R96">
        <f t="shared" si="3"/>
        <v>2.8613261974916369</v>
      </c>
    </row>
    <row r="97" spans="1:18" x14ac:dyDescent="0.4">
      <c r="A97" s="1" t="s">
        <v>2</v>
      </c>
      <c r="B97" s="1">
        <v>2084</v>
      </c>
      <c r="C97" s="1">
        <v>12.31720698</v>
      </c>
      <c r="D97" s="1">
        <v>1.248864813</v>
      </c>
      <c r="E97" s="1">
        <f t="shared" si="5"/>
        <v>11.068342167000001</v>
      </c>
      <c r="F97" s="10">
        <v>436000000</v>
      </c>
      <c r="G97" s="1">
        <v>9.6759623050000005</v>
      </c>
      <c r="H97" s="1">
        <v>12.783700809999999</v>
      </c>
      <c r="I97" s="1">
        <v>11.229831559999999</v>
      </c>
      <c r="J97" s="1">
        <v>69</v>
      </c>
      <c r="K97" s="1">
        <v>257</v>
      </c>
      <c r="L97" s="1">
        <v>322</v>
      </c>
      <c r="M97" s="1">
        <v>2.1918730430000002</v>
      </c>
      <c r="N97" s="1">
        <f t="shared" si="1"/>
        <v>1.8885840654063781</v>
      </c>
      <c r="O97" s="1">
        <f t="shared" si="2"/>
        <v>2.4951620196177071</v>
      </c>
      <c r="P97" s="1">
        <v>2.5472818259999999</v>
      </c>
      <c r="Q97" s="1">
        <f t="shared" si="4"/>
        <v>2.1948150154255357</v>
      </c>
      <c r="R97">
        <f t="shared" si="3"/>
        <v>2.8997486354403059</v>
      </c>
    </row>
    <row r="98" spans="1:18" x14ac:dyDescent="0.4">
      <c r="A98" s="1" t="s">
        <v>2</v>
      </c>
      <c r="B98" s="1">
        <v>2085</v>
      </c>
      <c r="C98" s="1">
        <v>12.33412272</v>
      </c>
      <c r="D98" s="1">
        <v>1.325560356</v>
      </c>
      <c r="E98" s="1">
        <f t="shared" si="5"/>
        <v>11.008562363999999</v>
      </c>
      <c r="F98" s="10">
        <v>436000000</v>
      </c>
      <c r="G98" s="1">
        <v>9.5597981310000009</v>
      </c>
      <c r="H98" s="1">
        <v>12.457159669999999</v>
      </c>
      <c r="I98" s="1">
        <v>11.0084789</v>
      </c>
      <c r="J98" s="1">
        <v>69</v>
      </c>
      <c r="K98" s="1">
        <v>257</v>
      </c>
      <c r="L98" s="1">
        <v>323</v>
      </c>
      <c r="M98" s="1">
        <v>2.1878148660000001</v>
      </c>
      <c r="N98" s="1">
        <f t="shared" si="1"/>
        <v>1.8999053962814807</v>
      </c>
      <c r="O98" s="1">
        <f t="shared" si="2"/>
        <v>2.4757243359172585</v>
      </c>
      <c r="P98" s="1">
        <v>2.5457027459999999</v>
      </c>
      <c r="Q98" s="1">
        <f t="shared" si="4"/>
        <v>2.2106963708939271</v>
      </c>
      <c r="R98">
        <f t="shared" si="3"/>
        <v>2.8807091213373224</v>
      </c>
    </row>
    <row r="99" spans="1:18" x14ac:dyDescent="0.4">
      <c r="A99" s="1" t="s">
        <v>2</v>
      </c>
      <c r="B99" s="1">
        <v>2086</v>
      </c>
      <c r="C99" s="1">
        <v>12.337854500000001</v>
      </c>
      <c r="D99" s="1">
        <v>1.365264845</v>
      </c>
      <c r="E99" s="1">
        <f t="shared" si="5"/>
        <v>10.972589655</v>
      </c>
      <c r="F99" s="10">
        <v>436000000</v>
      </c>
      <c r="G99" s="1">
        <v>9.6630188169999993</v>
      </c>
      <c r="H99" s="1">
        <v>12.58595581</v>
      </c>
      <c r="I99" s="1">
        <v>11.12448732</v>
      </c>
      <c r="J99" s="1">
        <v>69</v>
      </c>
      <c r="K99" s="1">
        <v>257</v>
      </c>
      <c r="L99" s="1">
        <v>324</v>
      </c>
      <c r="M99" s="1">
        <v>2.18428691</v>
      </c>
      <c r="N99" s="1">
        <f t="shared" si="1"/>
        <v>1.8973283807075061</v>
      </c>
      <c r="O99" s="1">
        <f t="shared" si="2"/>
        <v>2.471245436739951</v>
      </c>
      <c r="P99" s="1">
        <v>2.5429318969999999</v>
      </c>
      <c r="Q99" s="1">
        <f t="shared" si="4"/>
        <v>2.2088567377737371</v>
      </c>
      <c r="R99">
        <f t="shared" si="3"/>
        <v>2.8770070532546095</v>
      </c>
    </row>
    <row r="100" spans="1:18" x14ac:dyDescent="0.4">
      <c r="A100" s="1" t="s">
        <v>2</v>
      </c>
      <c r="B100" s="1">
        <v>2087</v>
      </c>
      <c r="C100" s="1">
        <v>12.30802074</v>
      </c>
      <c r="D100" s="1">
        <v>1.3565078159999999</v>
      </c>
      <c r="E100" s="1">
        <f t="shared" si="5"/>
        <v>10.951512923999999</v>
      </c>
      <c r="F100" s="10">
        <v>436000000</v>
      </c>
      <c r="G100" s="1">
        <v>9.7566123699999991</v>
      </c>
      <c r="H100" s="1">
        <v>12.71928563</v>
      </c>
      <c r="I100" s="1">
        <v>11.237949</v>
      </c>
      <c r="J100" s="1">
        <v>69</v>
      </c>
      <c r="K100" s="1">
        <v>257</v>
      </c>
      <c r="L100" s="1">
        <v>325</v>
      </c>
      <c r="M100" s="1">
        <v>2.1814673679999999</v>
      </c>
      <c r="N100" s="1">
        <f t="shared" si="1"/>
        <v>1.8939160079281494</v>
      </c>
      <c r="O100" s="1">
        <f t="shared" si="2"/>
        <v>2.4690187280718501</v>
      </c>
      <c r="P100" s="1">
        <v>2.5401585849999999</v>
      </c>
      <c r="Q100" s="1">
        <f t="shared" si="4"/>
        <v>2.2053261384415155</v>
      </c>
      <c r="R100">
        <f t="shared" si="3"/>
        <v>2.8749910315584839</v>
      </c>
    </row>
    <row r="101" spans="1:18" x14ac:dyDescent="0.4">
      <c r="A101" s="1" t="s">
        <v>2</v>
      </c>
      <c r="B101" s="1">
        <v>2088</v>
      </c>
      <c r="C101" s="1">
        <v>12.350323360000001</v>
      </c>
      <c r="D101" s="1">
        <v>1.3874196510000001</v>
      </c>
      <c r="E101" s="1">
        <f t="shared" si="5"/>
        <v>10.962903709000001</v>
      </c>
      <c r="F101" s="10">
        <v>436000000</v>
      </c>
      <c r="G101" s="1">
        <v>9.4543503819999994</v>
      </c>
      <c r="H101" s="1">
        <v>12.72350147</v>
      </c>
      <c r="I101" s="1">
        <v>11.08892593</v>
      </c>
      <c r="J101" s="1">
        <v>69</v>
      </c>
      <c r="K101" s="1">
        <v>257</v>
      </c>
      <c r="L101" s="1">
        <v>325</v>
      </c>
      <c r="M101" s="1">
        <v>2.1805408970000002</v>
      </c>
      <c r="N101" s="1">
        <f t="shared" si="1"/>
        <v>1.8591158235393295</v>
      </c>
      <c r="O101" s="1">
        <f t="shared" si="2"/>
        <v>2.5019659688875402</v>
      </c>
      <c r="P101" s="1">
        <v>2.5378753550000002</v>
      </c>
      <c r="Q101" s="1">
        <f t="shared" si="4"/>
        <v>2.1637769954887447</v>
      </c>
      <c r="R101">
        <f t="shared" si="3"/>
        <v>2.9119737126803296</v>
      </c>
    </row>
    <row r="102" spans="1:18" x14ac:dyDescent="0.4">
      <c r="A102" s="1" t="s">
        <v>2</v>
      </c>
      <c r="B102" s="1">
        <v>2089</v>
      </c>
      <c r="C102" s="1">
        <v>12.32260241</v>
      </c>
      <c r="D102" s="1">
        <v>1.4515588370000001</v>
      </c>
      <c r="E102" s="1">
        <f t="shared" si="5"/>
        <v>10.871043573</v>
      </c>
      <c r="F102" s="10">
        <v>436000000</v>
      </c>
      <c r="G102" s="1">
        <v>9.5771012169999992</v>
      </c>
      <c r="H102" s="1">
        <v>12.702838180000001</v>
      </c>
      <c r="I102" s="1">
        <v>11.1399697</v>
      </c>
      <c r="J102" s="1">
        <v>69</v>
      </c>
      <c r="K102" s="1">
        <v>257</v>
      </c>
      <c r="L102" s="1">
        <v>326</v>
      </c>
      <c r="M102" s="1">
        <v>2.1748695759999999</v>
      </c>
      <c r="N102" s="1">
        <f t="shared" si="1"/>
        <v>1.8697488973534524</v>
      </c>
      <c r="O102" s="1">
        <f t="shared" si="2"/>
        <v>2.4799902540608536</v>
      </c>
      <c r="P102" s="1">
        <v>2.5360310529999999</v>
      </c>
      <c r="Q102" s="1">
        <f t="shared" si="4"/>
        <v>2.1802416647539076</v>
      </c>
      <c r="R102">
        <f t="shared" si="3"/>
        <v>2.8918204405631376</v>
      </c>
    </row>
    <row r="103" spans="1:18" x14ac:dyDescent="0.4">
      <c r="A103" s="1" t="s">
        <v>2</v>
      </c>
      <c r="B103" s="1">
        <v>2090</v>
      </c>
      <c r="C103" s="1">
        <v>12.365203599999999</v>
      </c>
      <c r="D103" s="1">
        <v>1.359828485</v>
      </c>
      <c r="E103" s="1">
        <f t="shared" si="5"/>
        <v>11.005375115</v>
      </c>
      <c r="F103" s="10">
        <v>436000000</v>
      </c>
      <c r="G103" s="1">
        <v>9.6468924170000001</v>
      </c>
      <c r="H103" s="1">
        <v>12.742479060000001</v>
      </c>
      <c r="I103" s="1">
        <v>11.194685740000001</v>
      </c>
      <c r="J103" s="1">
        <v>69</v>
      </c>
      <c r="K103" s="1">
        <v>257</v>
      </c>
      <c r="L103" s="1">
        <v>327</v>
      </c>
      <c r="M103" s="1">
        <v>2.1805622809999998</v>
      </c>
      <c r="N103" s="1">
        <f t="shared" si="1"/>
        <v>1.8790746093221835</v>
      </c>
      <c r="O103" s="1">
        <f t="shared" si="2"/>
        <v>2.4820499520934591</v>
      </c>
      <c r="P103" s="1">
        <v>2.5349827189999998</v>
      </c>
      <c r="Q103" s="1">
        <f t="shared" si="4"/>
        <v>2.1844923687109361</v>
      </c>
      <c r="R103">
        <f t="shared" si="3"/>
        <v>2.8854730686097279</v>
      </c>
    </row>
    <row r="104" spans="1:18" x14ac:dyDescent="0.4">
      <c r="A104" s="1" t="s">
        <v>2</v>
      </c>
      <c r="B104" s="1">
        <v>2091</v>
      </c>
      <c r="C104" s="1">
        <v>12.36793694</v>
      </c>
      <c r="D104" s="1">
        <v>1.3898979090000001</v>
      </c>
      <c r="E104" s="1">
        <f t="shared" si="5"/>
        <v>10.978039031</v>
      </c>
      <c r="F104" s="10">
        <v>436000000</v>
      </c>
      <c r="G104" s="1">
        <v>9.6339181590000003</v>
      </c>
      <c r="H104" s="1">
        <v>12.69120655</v>
      </c>
      <c r="I104" s="1">
        <v>11.162562360000001</v>
      </c>
      <c r="J104" s="1">
        <v>69</v>
      </c>
      <c r="K104" s="1">
        <v>257</v>
      </c>
      <c r="L104" s="1">
        <v>328</v>
      </c>
      <c r="M104" s="1">
        <v>2.178872191</v>
      </c>
      <c r="N104" s="1">
        <f t="shared" ref="N104:N113" si="6">M104*G104/I104</f>
        <v>1.8804890570855466</v>
      </c>
      <c r="O104" s="1">
        <f t="shared" ref="O104:O113" si="7">H104*M104/I104</f>
        <v>2.477255322767312</v>
      </c>
      <c r="P104" s="1">
        <v>2.5340090829999999</v>
      </c>
      <c r="Q104" s="1">
        <f t="shared" si="4"/>
        <v>2.1869921378683017</v>
      </c>
      <c r="R104">
        <f t="shared" ref="R104:R167" si="8">H104*P104/I104</f>
        <v>2.8810260256345921</v>
      </c>
    </row>
    <row r="105" spans="1:18" x14ac:dyDescent="0.4">
      <c r="A105" s="1" t="s">
        <v>2</v>
      </c>
      <c r="B105" s="1">
        <v>2092</v>
      </c>
      <c r="C105" s="1">
        <v>12.348867739999999</v>
      </c>
      <c r="D105" s="1">
        <v>1.326715343</v>
      </c>
      <c r="E105" s="1">
        <f t="shared" si="5"/>
        <v>11.022152396999999</v>
      </c>
      <c r="F105" s="10">
        <v>436000000</v>
      </c>
      <c r="G105" s="1">
        <v>9.7770189550000008</v>
      </c>
      <c r="H105" s="1">
        <v>12.76778552</v>
      </c>
      <c r="I105" s="1">
        <v>11.27240224</v>
      </c>
      <c r="J105" s="1">
        <v>69</v>
      </c>
      <c r="K105" s="1">
        <v>257</v>
      </c>
      <c r="L105" s="1">
        <v>328</v>
      </c>
      <c r="M105" s="1">
        <v>2.1803382</v>
      </c>
      <c r="N105" s="1">
        <f t="shared" si="6"/>
        <v>1.8910971641933336</v>
      </c>
      <c r="O105" s="1">
        <f t="shared" si="7"/>
        <v>2.4695792348395531</v>
      </c>
      <c r="P105" s="1">
        <v>2.5328796439999999</v>
      </c>
      <c r="Q105" s="1">
        <f t="shared" ref="Q105:Q113" si="9">P105*G105/I105</f>
        <v>2.1968708854486061</v>
      </c>
      <c r="R105">
        <f t="shared" si="8"/>
        <v>2.8688884014279066</v>
      </c>
    </row>
    <row r="106" spans="1:18" x14ac:dyDescent="0.4">
      <c r="A106" s="1" t="s">
        <v>2</v>
      </c>
      <c r="B106" s="1">
        <v>2093</v>
      </c>
      <c r="C106" s="1">
        <v>12.329894810000001</v>
      </c>
      <c r="D106" s="1">
        <v>1.31868506</v>
      </c>
      <c r="E106" s="1">
        <f t="shared" si="5"/>
        <v>11.011209750000001</v>
      </c>
      <c r="F106" s="10">
        <v>436000000</v>
      </c>
      <c r="G106" s="1">
        <v>9.7474155600000003</v>
      </c>
      <c r="H106" s="1">
        <v>12.54199779</v>
      </c>
      <c r="I106" s="1">
        <v>11.14470667</v>
      </c>
      <c r="J106" s="1">
        <v>69</v>
      </c>
      <c r="K106" s="1">
        <v>257</v>
      </c>
      <c r="L106" s="1">
        <v>329</v>
      </c>
      <c r="M106" s="1">
        <v>2.1797079720000001</v>
      </c>
      <c r="N106" s="1">
        <f t="shared" si="6"/>
        <v>1.9064224866251098</v>
      </c>
      <c r="O106" s="1">
        <f t="shared" si="7"/>
        <v>2.4529934593307141</v>
      </c>
      <c r="P106" s="1">
        <v>2.5327157589999998</v>
      </c>
      <c r="Q106" s="1">
        <f t="shared" si="9"/>
        <v>2.2151711776128611</v>
      </c>
      <c r="R106">
        <f t="shared" si="8"/>
        <v>2.8502603426597113</v>
      </c>
    </row>
    <row r="107" spans="1:18" x14ac:dyDescent="0.4">
      <c r="A107" s="1" t="s">
        <v>2</v>
      </c>
      <c r="B107" s="1">
        <v>2094</v>
      </c>
      <c r="C107" s="1">
        <v>12.285328939999999</v>
      </c>
      <c r="D107" s="1">
        <v>1.313558499</v>
      </c>
      <c r="E107" s="1">
        <f t="shared" si="5"/>
        <v>10.971770441</v>
      </c>
      <c r="F107" s="10">
        <v>436000000</v>
      </c>
      <c r="G107" s="1">
        <v>9.716015273</v>
      </c>
      <c r="H107" s="1">
        <v>12.459027580000001</v>
      </c>
      <c r="I107" s="1">
        <v>11.087521430000001</v>
      </c>
      <c r="J107" s="1">
        <v>69</v>
      </c>
      <c r="K107" s="1">
        <v>257</v>
      </c>
      <c r="L107" s="1">
        <v>330</v>
      </c>
      <c r="M107" s="1">
        <v>2.1767769860000001</v>
      </c>
      <c r="N107" s="1">
        <f t="shared" si="6"/>
        <v>1.9075136472490144</v>
      </c>
      <c r="O107" s="1">
        <f t="shared" si="7"/>
        <v>2.4460403233766987</v>
      </c>
      <c r="P107" s="1">
        <v>2.5308555199999998</v>
      </c>
      <c r="Q107" s="1">
        <f t="shared" si="9"/>
        <v>2.2177933130792025</v>
      </c>
      <c r="R107">
        <f t="shared" si="8"/>
        <v>2.8439177253229659</v>
      </c>
    </row>
    <row r="108" spans="1:18" x14ac:dyDescent="0.4">
      <c r="A108" s="1" t="s">
        <v>2</v>
      </c>
      <c r="B108" s="1">
        <v>2095</v>
      </c>
      <c r="C108" s="1">
        <v>12.268068789999999</v>
      </c>
      <c r="D108" s="1">
        <v>1.3237050909999999</v>
      </c>
      <c r="E108" s="1">
        <f t="shared" si="5"/>
        <v>10.944363699</v>
      </c>
      <c r="F108" s="10">
        <v>436000000</v>
      </c>
      <c r="G108" s="1">
        <v>9.6963109430000003</v>
      </c>
      <c r="H108" s="1">
        <v>12.73642682</v>
      </c>
      <c r="I108" s="1">
        <v>11.216368879999999</v>
      </c>
      <c r="J108" s="1">
        <v>69</v>
      </c>
      <c r="K108" s="1">
        <v>257</v>
      </c>
      <c r="L108" s="1">
        <v>331</v>
      </c>
      <c r="M108" s="1">
        <v>2.1739410260000001</v>
      </c>
      <c r="N108" s="1">
        <f t="shared" si="6"/>
        <v>1.8793255094727634</v>
      </c>
      <c r="O108" s="1">
        <f t="shared" si="7"/>
        <v>2.4685565431086931</v>
      </c>
      <c r="P108" s="1">
        <v>2.5283987579999998</v>
      </c>
      <c r="Q108" s="1">
        <f t="shared" si="9"/>
        <v>2.1857466358099136</v>
      </c>
      <c r="R108">
        <f t="shared" si="8"/>
        <v>2.8710508808663477</v>
      </c>
    </row>
    <row r="109" spans="1:18" x14ac:dyDescent="0.4">
      <c r="A109" s="1" t="s">
        <v>2</v>
      </c>
      <c r="B109" s="1">
        <v>2096</v>
      </c>
      <c r="C109" s="1">
        <v>12.27032648</v>
      </c>
      <c r="D109" s="1">
        <v>1.301905841</v>
      </c>
      <c r="E109" s="1">
        <f t="shared" si="5"/>
        <v>10.968420639</v>
      </c>
      <c r="F109" s="10">
        <v>436000000</v>
      </c>
      <c r="G109" s="1">
        <v>9.4505495390000007</v>
      </c>
      <c r="H109" s="1">
        <v>12.577299460000001</v>
      </c>
      <c r="I109" s="1">
        <v>11.0139245</v>
      </c>
      <c r="J109" s="1">
        <v>69</v>
      </c>
      <c r="K109" s="1">
        <v>257</v>
      </c>
      <c r="L109" s="1">
        <v>331</v>
      </c>
      <c r="M109" s="1">
        <v>2.1737792250000001</v>
      </c>
      <c r="N109" s="1">
        <f t="shared" si="6"/>
        <v>1.8652214524179396</v>
      </c>
      <c r="O109" s="1">
        <f t="shared" si="7"/>
        <v>2.4823369973846945</v>
      </c>
      <c r="P109" s="1">
        <v>2.5263763840000002</v>
      </c>
      <c r="Q109" s="1">
        <f t="shared" si="9"/>
        <v>2.1677690973051154</v>
      </c>
      <c r="R109">
        <f t="shared" si="8"/>
        <v>2.8849836704655054</v>
      </c>
    </row>
    <row r="110" spans="1:18" x14ac:dyDescent="0.4">
      <c r="A110" s="1" t="s">
        <v>2</v>
      </c>
      <c r="B110" s="1">
        <v>2097</v>
      </c>
      <c r="C110" s="1">
        <v>12.30894333</v>
      </c>
      <c r="D110" s="1">
        <v>1.2943899990000001</v>
      </c>
      <c r="E110" s="1">
        <f t="shared" si="5"/>
        <v>11.014553331</v>
      </c>
      <c r="F110" s="10">
        <v>436000000</v>
      </c>
      <c r="G110" s="1">
        <v>10.07064293</v>
      </c>
      <c r="H110" s="1">
        <v>12.92933899</v>
      </c>
      <c r="I110" s="1">
        <v>11.49999096</v>
      </c>
      <c r="J110" s="1">
        <v>69</v>
      </c>
      <c r="K110" s="1">
        <v>257</v>
      </c>
      <c r="L110" s="1">
        <v>332</v>
      </c>
      <c r="M110" s="1">
        <v>2.1758664909999998</v>
      </c>
      <c r="N110" s="1">
        <f t="shared" si="6"/>
        <v>1.9054253668920327</v>
      </c>
      <c r="O110" s="1">
        <f t="shared" si="7"/>
        <v>2.4463076151079672</v>
      </c>
      <c r="P110" s="1">
        <v>2.5263798880000001</v>
      </c>
      <c r="Q110" s="1">
        <f t="shared" si="9"/>
        <v>2.2123730223855231</v>
      </c>
      <c r="R110">
        <f t="shared" si="8"/>
        <v>2.8403867536144771</v>
      </c>
    </row>
    <row r="111" spans="1:18" x14ac:dyDescent="0.4">
      <c r="A111" s="1" t="s">
        <v>2</v>
      </c>
      <c r="B111" s="1">
        <v>2098</v>
      </c>
      <c r="C111" s="1">
        <v>12.32538656</v>
      </c>
      <c r="D111" s="1">
        <v>1.3168055009999999</v>
      </c>
      <c r="E111" s="1">
        <f t="shared" si="5"/>
        <v>11.008581059000001</v>
      </c>
      <c r="F111" s="10">
        <v>436000000</v>
      </c>
      <c r="G111" s="1">
        <v>9.8893002600000006</v>
      </c>
      <c r="H111" s="1">
        <v>12.799462950000001</v>
      </c>
      <c r="I111" s="1">
        <v>11.344381609999999</v>
      </c>
      <c r="J111" s="1">
        <v>69</v>
      </c>
      <c r="K111" s="1">
        <v>257</v>
      </c>
      <c r="L111" s="1">
        <v>333</v>
      </c>
      <c r="M111" s="1">
        <v>2.1751201619999998</v>
      </c>
      <c r="N111" s="1">
        <f t="shared" si="6"/>
        <v>1.8961294782817029</v>
      </c>
      <c r="O111" s="1">
        <f t="shared" si="7"/>
        <v>2.4541108438009429</v>
      </c>
      <c r="P111" s="1">
        <v>2.5253528350000001</v>
      </c>
      <c r="Q111" s="1">
        <f t="shared" si="9"/>
        <v>2.2014397352203705</v>
      </c>
      <c r="R111">
        <f t="shared" si="8"/>
        <v>2.8492659325535481</v>
      </c>
    </row>
    <row r="112" spans="1:18" x14ac:dyDescent="0.4">
      <c r="A112" s="1" t="s">
        <v>2</v>
      </c>
      <c r="B112" s="1">
        <v>2099</v>
      </c>
      <c r="C112" s="1">
        <v>12.355228739999999</v>
      </c>
      <c r="D112" s="1">
        <v>1.3365960960000001</v>
      </c>
      <c r="E112" s="1">
        <f t="shared" si="5"/>
        <v>11.018632644</v>
      </c>
      <c r="F112" s="10">
        <v>436000000</v>
      </c>
      <c r="G112" s="1">
        <v>9.8655022779999992</v>
      </c>
      <c r="H112" s="1">
        <v>12.80069001</v>
      </c>
      <c r="I112" s="1">
        <v>11.33309614</v>
      </c>
      <c r="J112" s="1">
        <v>69</v>
      </c>
      <c r="K112" s="1">
        <v>257</v>
      </c>
      <c r="L112" s="1">
        <v>334</v>
      </c>
      <c r="M112" s="1">
        <v>2.174781914</v>
      </c>
      <c r="N112" s="1">
        <f t="shared" si="6"/>
        <v>1.8931557327034374</v>
      </c>
      <c r="O112" s="1">
        <f t="shared" si="7"/>
        <v>2.4564080968317348</v>
      </c>
      <c r="P112" s="1">
        <v>2.523926807</v>
      </c>
      <c r="Q112" s="1">
        <f t="shared" si="9"/>
        <v>2.1970876586919843</v>
      </c>
      <c r="R112">
        <f t="shared" si="8"/>
        <v>2.8507659570896484</v>
      </c>
    </row>
    <row r="113" spans="1:18" x14ac:dyDescent="0.4">
      <c r="A113" s="1" t="s">
        <v>2</v>
      </c>
      <c r="B113" s="1">
        <v>2100</v>
      </c>
      <c r="C113" s="1">
        <v>12.31098867</v>
      </c>
      <c r="D113" s="1">
        <v>1.392918654</v>
      </c>
      <c r="E113" s="1">
        <f t="shared" si="5"/>
        <v>10.918070016</v>
      </c>
      <c r="F113" s="10">
        <v>436000000</v>
      </c>
      <c r="G113" s="1">
        <v>9.8815887379999996</v>
      </c>
      <c r="H113" s="1">
        <v>12.64582755</v>
      </c>
      <c r="I113" s="1">
        <v>11.26370814</v>
      </c>
      <c r="J113" s="1">
        <v>69</v>
      </c>
      <c r="K113" s="1">
        <v>257</v>
      </c>
      <c r="L113" s="1">
        <v>334</v>
      </c>
      <c r="M113" s="1">
        <v>2.1683876500000001</v>
      </c>
      <c r="N113" s="1">
        <f t="shared" si="6"/>
        <v>1.9023144701135948</v>
      </c>
      <c r="O113" s="1">
        <f t="shared" si="7"/>
        <v>2.4344608314264931</v>
      </c>
      <c r="P113" s="1">
        <v>2.5210901049999999</v>
      </c>
      <c r="Q113" s="1">
        <f t="shared" si="9"/>
        <v>2.2117383795290024</v>
      </c>
      <c r="R113">
        <f t="shared" si="8"/>
        <v>2.8304418322615903</v>
      </c>
    </row>
    <row r="114" spans="1:18" x14ac:dyDescent="0.4">
      <c r="A114" s="1" t="s">
        <v>3</v>
      </c>
      <c r="B114" s="1">
        <v>1989</v>
      </c>
      <c r="C114" s="1">
        <v>15.766</v>
      </c>
      <c r="D114" s="1">
        <v>6.8879999999999999</v>
      </c>
      <c r="E114" s="1">
        <f t="shared" si="5"/>
        <v>8.8780000000000001</v>
      </c>
      <c r="F114" s="10">
        <v>436000000</v>
      </c>
      <c r="J114" s="1">
        <v>65</v>
      </c>
      <c r="K114" s="1">
        <v>265</v>
      </c>
      <c r="L114" s="1">
        <v>265</v>
      </c>
      <c r="M114" s="1">
        <v>2.1932364280000001</v>
      </c>
      <c r="P114" s="1">
        <v>2.6016007459999999</v>
      </c>
      <c r="Q114" s="2"/>
    </row>
    <row r="115" spans="1:18" x14ac:dyDescent="0.4">
      <c r="A115" s="1" t="s">
        <v>3</v>
      </c>
      <c r="B115" s="1">
        <v>1990</v>
      </c>
      <c r="C115" s="1">
        <v>16.248999999999999</v>
      </c>
      <c r="D115" s="1">
        <v>6.0110000000000001</v>
      </c>
      <c r="E115" s="1">
        <f t="shared" si="5"/>
        <v>10.238</v>
      </c>
      <c r="F115" s="10">
        <v>436000000</v>
      </c>
      <c r="J115" s="1">
        <v>71</v>
      </c>
      <c r="K115" s="1">
        <v>264</v>
      </c>
      <c r="L115" s="1">
        <v>264</v>
      </c>
      <c r="M115" s="1">
        <v>2.2302969789999998</v>
      </c>
      <c r="P115" s="1">
        <v>2.6052478369999998</v>
      </c>
      <c r="Q115" s="2"/>
    </row>
    <row r="116" spans="1:18" x14ac:dyDescent="0.4">
      <c r="A116" s="1" t="s">
        <v>3</v>
      </c>
      <c r="B116" s="1">
        <v>1991</v>
      </c>
      <c r="C116" s="1">
        <v>15.647</v>
      </c>
      <c r="D116" s="1">
        <v>6.2590000000000003</v>
      </c>
      <c r="E116" s="1">
        <f t="shared" si="5"/>
        <v>9.3879999999999999</v>
      </c>
      <c r="F116" s="10">
        <v>436000000</v>
      </c>
      <c r="J116" s="1">
        <v>56</v>
      </c>
      <c r="K116" s="1">
        <v>259</v>
      </c>
      <c r="L116" s="1">
        <v>259</v>
      </c>
      <c r="M116" s="1">
        <v>2.186969188</v>
      </c>
      <c r="P116" s="1">
        <v>2.6275141899999999</v>
      </c>
      <c r="Q116" s="2"/>
    </row>
    <row r="117" spans="1:18" x14ac:dyDescent="0.4">
      <c r="A117" s="1" t="s">
        <v>3</v>
      </c>
      <c r="B117" s="1">
        <v>1992</v>
      </c>
      <c r="C117" s="1">
        <v>15.576000000000001</v>
      </c>
      <c r="D117" s="1">
        <v>7.1589999999999998</v>
      </c>
      <c r="E117" s="1">
        <f t="shared" si="5"/>
        <v>8.4170000000000016</v>
      </c>
      <c r="F117" s="10">
        <v>436000000</v>
      </c>
      <c r="J117" s="1">
        <v>72</v>
      </c>
      <c r="K117" s="1">
        <v>251</v>
      </c>
      <c r="L117" s="1">
        <v>251</v>
      </c>
      <c r="M117" s="1">
        <v>2.1267693419999998</v>
      </c>
      <c r="P117" s="1">
        <v>2.5805214689999998</v>
      </c>
      <c r="Q117" s="2"/>
    </row>
    <row r="118" spans="1:18" x14ac:dyDescent="0.4">
      <c r="A118" s="1" t="s">
        <v>3</v>
      </c>
      <c r="B118" s="1">
        <v>1993</v>
      </c>
      <c r="C118" s="1">
        <v>16.047999999999998</v>
      </c>
      <c r="D118" s="1">
        <v>6.1609999999999996</v>
      </c>
      <c r="E118" s="1">
        <f t="shared" si="5"/>
        <v>9.8869999999999987</v>
      </c>
      <c r="F118" s="10">
        <v>436000000</v>
      </c>
      <c r="J118" s="1">
        <v>72</v>
      </c>
      <c r="K118" s="1">
        <v>256</v>
      </c>
      <c r="L118" s="1">
        <v>260</v>
      </c>
      <c r="M118" s="1">
        <v>2.211340243</v>
      </c>
      <c r="P118" s="1">
        <v>2.5962722810000001</v>
      </c>
      <c r="Q118" s="2"/>
    </row>
    <row r="119" spans="1:18" x14ac:dyDescent="0.4">
      <c r="A119" s="1" t="s">
        <v>3</v>
      </c>
      <c r="B119" s="1">
        <v>1994</v>
      </c>
      <c r="C119" s="1">
        <v>15.77</v>
      </c>
      <c r="D119" s="1">
        <v>6.9340000000000002</v>
      </c>
      <c r="E119" s="1">
        <f t="shared" si="5"/>
        <v>8.8359999999999985</v>
      </c>
      <c r="F119" s="10">
        <v>436000000</v>
      </c>
      <c r="J119" s="1">
        <v>52</v>
      </c>
      <c r="K119" s="1">
        <v>248</v>
      </c>
      <c r="L119" s="1">
        <v>252</v>
      </c>
      <c r="M119" s="1">
        <v>2.1492655479999998</v>
      </c>
      <c r="P119" s="1">
        <v>2.6040047560000001</v>
      </c>
      <c r="Q119" s="2"/>
    </row>
    <row r="120" spans="1:18" x14ac:dyDescent="0.4">
      <c r="A120" s="1" t="s">
        <v>3</v>
      </c>
      <c r="B120" s="1">
        <v>1995</v>
      </c>
      <c r="C120" s="1">
        <v>15.384</v>
      </c>
      <c r="D120" s="1">
        <v>6.0119999999999996</v>
      </c>
      <c r="E120" s="1">
        <f t="shared" si="5"/>
        <v>9.3719999999999999</v>
      </c>
      <c r="F120" s="10">
        <v>436000000</v>
      </c>
      <c r="J120" s="1">
        <v>90</v>
      </c>
      <c r="K120" s="1">
        <v>247</v>
      </c>
      <c r="L120" s="1">
        <v>271</v>
      </c>
      <c r="M120" s="1">
        <v>2.1827454570000002</v>
      </c>
      <c r="P120" s="1">
        <v>2.5507939369999999</v>
      </c>
      <c r="Q120" s="2"/>
    </row>
    <row r="121" spans="1:18" x14ac:dyDescent="0.4">
      <c r="A121" s="1" t="s">
        <v>3</v>
      </c>
      <c r="B121" s="1">
        <v>1996</v>
      </c>
      <c r="C121" s="1">
        <v>15.484</v>
      </c>
      <c r="D121" s="1">
        <v>7.1470000000000002</v>
      </c>
      <c r="E121" s="1">
        <f t="shared" si="5"/>
        <v>8.3369999999999997</v>
      </c>
      <c r="F121" s="10">
        <v>436000000</v>
      </c>
      <c r="J121" s="1">
        <v>52</v>
      </c>
      <c r="K121" s="1">
        <v>254</v>
      </c>
      <c r="L121" s="1">
        <v>254</v>
      </c>
      <c r="M121" s="1">
        <v>2.1079391599999999</v>
      </c>
      <c r="P121" s="1">
        <v>2.588692714</v>
      </c>
      <c r="Q121" s="2"/>
    </row>
    <row r="122" spans="1:18" x14ac:dyDescent="0.4">
      <c r="A122" s="1" t="s">
        <v>3</v>
      </c>
      <c r="B122" s="1">
        <v>1997</v>
      </c>
      <c r="C122" s="1">
        <v>15.683999999999999</v>
      </c>
      <c r="D122" s="1">
        <v>6.6020000000000003</v>
      </c>
      <c r="E122" s="1">
        <f t="shared" si="5"/>
        <v>9.081999999999999</v>
      </c>
      <c r="F122" s="10">
        <v>436000000</v>
      </c>
      <c r="J122" s="1">
        <v>79</v>
      </c>
      <c r="K122" s="1">
        <v>246</v>
      </c>
      <c r="L122" s="1">
        <v>262</v>
      </c>
      <c r="M122" s="1">
        <v>2.1526674739999998</v>
      </c>
      <c r="P122" s="1">
        <v>2.5470254749999999</v>
      </c>
      <c r="Q122" s="2"/>
    </row>
    <row r="123" spans="1:18" x14ac:dyDescent="0.4">
      <c r="A123" s="1" t="s">
        <v>3</v>
      </c>
      <c r="B123" s="1">
        <v>1998</v>
      </c>
      <c r="C123" s="1">
        <v>16.07</v>
      </c>
      <c r="D123" s="1">
        <v>6.2930000000000001</v>
      </c>
      <c r="E123" s="1">
        <f t="shared" si="5"/>
        <v>9.777000000000001</v>
      </c>
      <c r="F123" s="10">
        <v>436000000</v>
      </c>
      <c r="J123" s="1">
        <v>56</v>
      </c>
      <c r="K123" s="1">
        <v>260</v>
      </c>
      <c r="L123" s="1">
        <v>260</v>
      </c>
      <c r="M123" s="1">
        <v>2.1921763159999998</v>
      </c>
      <c r="P123" s="1">
        <v>2.6080340390000001</v>
      </c>
      <c r="Q123" s="2"/>
    </row>
    <row r="124" spans="1:18" x14ac:dyDescent="0.4">
      <c r="A124" s="1" t="s">
        <v>3</v>
      </c>
      <c r="B124" s="1">
        <v>1999</v>
      </c>
      <c r="C124" s="1">
        <v>15.627000000000001</v>
      </c>
      <c r="D124" s="1">
        <v>5.6760000000000002</v>
      </c>
      <c r="E124" s="1">
        <f t="shared" si="5"/>
        <v>9.9510000000000005</v>
      </c>
      <c r="F124" s="10">
        <v>436000000</v>
      </c>
      <c r="J124" s="1">
        <v>89</v>
      </c>
      <c r="K124" s="1">
        <v>255</v>
      </c>
      <c r="L124" s="1">
        <v>259</v>
      </c>
      <c r="M124" s="1">
        <v>2.2239154540000001</v>
      </c>
      <c r="P124" s="1">
        <v>2.573817805</v>
      </c>
      <c r="Q124" s="2"/>
    </row>
    <row r="125" spans="1:18" x14ac:dyDescent="0.4">
      <c r="A125" s="1" t="s">
        <v>3</v>
      </c>
      <c r="B125" s="1">
        <v>2000</v>
      </c>
      <c r="C125" s="1">
        <v>15.497999999999999</v>
      </c>
      <c r="D125" s="1">
        <v>5.9429999999999996</v>
      </c>
      <c r="E125" s="1">
        <f t="shared" si="5"/>
        <v>9.5549999999999997</v>
      </c>
      <c r="F125" s="10">
        <v>436000000</v>
      </c>
      <c r="J125" s="1">
        <v>63</v>
      </c>
      <c r="K125" s="1">
        <v>255</v>
      </c>
      <c r="L125" s="1">
        <v>257</v>
      </c>
      <c r="M125" s="1">
        <v>2.2008745890000001</v>
      </c>
      <c r="P125" s="1">
        <v>2.6163086330000001</v>
      </c>
      <c r="Q125" s="2"/>
    </row>
    <row r="126" spans="1:18" x14ac:dyDescent="0.4">
      <c r="A126" s="1" t="s">
        <v>3</v>
      </c>
      <c r="B126" s="1">
        <v>2001</v>
      </c>
      <c r="C126" s="1">
        <v>15.742000000000001</v>
      </c>
      <c r="D126" s="1">
        <v>6.5670000000000002</v>
      </c>
      <c r="E126" s="1">
        <f t="shared" si="5"/>
        <v>9.1750000000000007</v>
      </c>
      <c r="F126" s="10">
        <v>436000000</v>
      </c>
      <c r="J126" s="1">
        <v>63</v>
      </c>
      <c r="K126" s="1">
        <v>262</v>
      </c>
      <c r="L126" s="1">
        <v>262</v>
      </c>
      <c r="M126" s="1">
        <v>2.1735770959999998</v>
      </c>
      <c r="P126" s="1">
        <v>2.6248882789999999</v>
      </c>
      <c r="Q126" s="2"/>
    </row>
    <row r="127" spans="1:18" x14ac:dyDescent="0.4">
      <c r="A127" s="1" t="s">
        <v>3</v>
      </c>
      <c r="B127" s="1">
        <v>2002</v>
      </c>
      <c r="C127" s="1">
        <v>15.624000000000001</v>
      </c>
      <c r="D127" s="1">
        <v>5.625</v>
      </c>
      <c r="E127" s="1">
        <f t="shared" si="5"/>
        <v>9.9990000000000006</v>
      </c>
      <c r="F127" s="10">
        <v>436000000</v>
      </c>
      <c r="J127" s="1">
        <v>68</v>
      </c>
      <c r="K127" s="1">
        <v>261</v>
      </c>
      <c r="L127" s="1">
        <v>263</v>
      </c>
      <c r="M127" s="1">
        <v>2.2245227179999998</v>
      </c>
      <c r="P127" s="1">
        <v>2.6157277630000002</v>
      </c>
      <c r="Q127" s="2"/>
    </row>
    <row r="128" spans="1:18" x14ac:dyDescent="0.4">
      <c r="A128" s="1" t="s">
        <v>3</v>
      </c>
      <c r="B128" s="1">
        <v>2003</v>
      </c>
      <c r="C128" s="1">
        <v>15.629</v>
      </c>
      <c r="D128" s="1">
        <v>5.9690000000000003</v>
      </c>
      <c r="E128" s="1">
        <f t="shared" si="5"/>
        <v>9.66</v>
      </c>
      <c r="F128" s="10">
        <v>436000000</v>
      </c>
      <c r="J128" s="1">
        <v>79</v>
      </c>
      <c r="K128" s="1">
        <v>260</v>
      </c>
      <c r="L128" s="1">
        <v>264</v>
      </c>
      <c r="M128" s="1">
        <v>2.210563343</v>
      </c>
      <c r="P128" s="1">
        <v>2.6038703339999998</v>
      </c>
      <c r="Q128" s="2"/>
    </row>
    <row r="129" spans="1:17" x14ac:dyDescent="0.4">
      <c r="A129" s="1" t="s">
        <v>3</v>
      </c>
      <c r="B129" s="1">
        <v>2004</v>
      </c>
      <c r="C129" s="1">
        <v>15.3</v>
      </c>
      <c r="D129" s="1">
        <v>5.77</v>
      </c>
      <c r="E129" s="1">
        <f t="shared" si="5"/>
        <v>9.5300000000000011</v>
      </c>
      <c r="F129" s="10">
        <v>436000000</v>
      </c>
      <c r="J129" s="1">
        <v>70</v>
      </c>
      <c r="K129" s="1">
        <v>262</v>
      </c>
      <c r="L129" s="1">
        <v>264</v>
      </c>
      <c r="M129" s="1">
        <v>2.1989840630000002</v>
      </c>
      <c r="P129" s="1">
        <v>2.6167524969999998</v>
      </c>
      <c r="Q129" s="2"/>
    </row>
    <row r="130" spans="1:17" x14ac:dyDescent="0.4">
      <c r="A130" s="1" t="s">
        <v>3</v>
      </c>
      <c r="B130" s="1">
        <v>2005</v>
      </c>
      <c r="C130" s="1">
        <v>14.993</v>
      </c>
      <c r="D130" s="1">
        <v>5.3140000000000001</v>
      </c>
      <c r="E130" s="1">
        <f t="shared" si="5"/>
        <v>9.6790000000000003</v>
      </c>
      <c r="F130" s="10">
        <v>436000000</v>
      </c>
      <c r="J130" s="1">
        <v>68</v>
      </c>
      <c r="K130" s="1">
        <v>263</v>
      </c>
      <c r="L130" s="1">
        <v>269</v>
      </c>
      <c r="M130" s="1">
        <v>2.2066025260000002</v>
      </c>
      <c r="P130" s="1">
        <v>2.620384504</v>
      </c>
      <c r="Q130" s="2"/>
    </row>
    <row r="131" spans="1:17" x14ac:dyDescent="0.4">
      <c r="A131" s="1" t="s">
        <v>3</v>
      </c>
      <c r="B131" s="1">
        <v>2006</v>
      </c>
      <c r="C131" s="1">
        <v>14.776999999999999</v>
      </c>
      <c r="D131" s="1">
        <v>5.7460000000000004</v>
      </c>
      <c r="E131" s="1">
        <f t="shared" ref="E131:E194" si="10">C131-D131</f>
        <v>9.0309999999999988</v>
      </c>
      <c r="F131" s="10">
        <v>436000000</v>
      </c>
      <c r="J131" s="1">
        <v>70</v>
      </c>
      <c r="K131" s="1">
        <v>257</v>
      </c>
      <c r="L131" s="1">
        <v>267</v>
      </c>
      <c r="M131" s="1">
        <v>2.1637713810000001</v>
      </c>
      <c r="P131" s="1">
        <v>2.5951235010000002</v>
      </c>
      <c r="Q131" s="2"/>
    </row>
    <row r="132" spans="1:17" x14ac:dyDescent="0.4">
      <c r="A132" s="1" t="s">
        <v>3</v>
      </c>
      <c r="B132" s="1">
        <v>2007</v>
      </c>
      <c r="C132" s="1">
        <v>14.842000000000001</v>
      </c>
      <c r="D132" s="1">
        <v>4.1470000000000002</v>
      </c>
      <c r="E132" s="1">
        <f t="shared" si="10"/>
        <v>10.695</v>
      </c>
      <c r="F132" s="10">
        <v>436000000</v>
      </c>
      <c r="J132" s="1">
        <v>69</v>
      </c>
      <c r="K132" s="1">
        <v>257</v>
      </c>
      <c r="L132" s="1">
        <v>291</v>
      </c>
      <c r="M132" s="1">
        <v>2.2461140500000001</v>
      </c>
      <c r="P132" s="1">
        <v>2.6029680819999998</v>
      </c>
      <c r="Q132" s="2"/>
    </row>
    <row r="133" spans="1:17" x14ac:dyDescent="0.4">
      <c r="A133" s="1" t="s">
        <v>3</v>
      </c>
      <c r="B133" s="1">
        <v>2008</v>
      </c>
      <c r="C133" s="1">
        <v>15.353999999999999</v>
      </c>
      <c r="D133" s="1">
        <v>4.548</v>
      </c>
      <c r="E133" s="1">
        <f t="shared" si="10"/>
        <v>10.805999999999999</v>
      </c>
      <c r="F133" s="10">
        <v>436000000</v>
      </c>
      <c r="J133" s="1">
        <v>58</v>
      </c>
      <c r="K133" s="1">
        <v>262</v>
      </c>
      <c r="L133" s="1">
        <v>275</v>
      </c>
      <c r="M133" s="1">
        <v>2.2455697350000001</v>
      </c>
      <c r="P133" s="1">
        <v>2.617755399</v>
      </c>
      <c r="Q133" s="2"/>
    </row>
    <row r="134" spans="1:17" x14ac:dyDescent="0.4">
      <c r="A134" s="1" t="s">
        <v>3</v>
      </c>
      <c r="B134" s="1">
        <v>2009</v>
      </c>
      <c r="C134" s="1">
        <v>15.195</v>
      </c>
      <c r="D134" s="1">
        <v>5.0469999999999997</v>
      </c>
      <c r="E134" s="1">
        <f t="shared" si="10"/>
        <v>10.148</v>
      </c>
      <c r="F134" s="10">
        <v>436000000</v>
      </c>
      <c r="J134" s="1">
        <v>61</v>
      </c>
      <c r="K134" s="1">
        <v>255</v>
      </c>
      <c r="L134" s="1">
        <v>280</v>
      </c>
      <c r="M134" s="1">
        <v>2.2155759449999999</v>
      </c>
      <c r="P134" s="1">
        <v>2.6149579850000002</v>
      </c>
      <c r="Q134" s="2"/>
    </row>
    <row r="135" spans="1:17" x14ac:dyDescent="0.4">
      <c r="A135" s="1" t="s">
        <v>3</v>
      </c>
      <c r="B135" s="1">
        <v>2010</v>
      </c>
      <c r="C135" s="1">
        <v>15.351000000000001</v>
      </c>
      <c r="D135" s="1">
        <v>4.59</v>
      </c>
      <c r="E135" s="1">
        <f t="shared" si="10"/>
        <v>10.761000000000001</v>
      </c>
      <c r="F135" s="10">
        <v>436000000</v>
      </c>
      <c r="J135" s="1">
        <v>90</v>
      </c>
      <c r="K135" s="1">
        <v>262</v>
      </c>
      <c r="L135" s="1">
        <v>278</v>
      </c>
      <c r="M135" s="1">
        <v>2.254690128</v>
      </c>
      <c r="P135" s="1">
        <v>2.5850516099999998</v>
      </c>
      <c r="Q135" s="2"/>
    </row>
    <row r="136" spans="1:17" x14ac:dyDescent="0.4">
      <c r="A136" s="1" t="s">
        <v>3</v>
      </c>
      <c r="B136" s="1">
        <v>2011</v>
      </c>
      <c r="C136" s="1">
        <v>14.704000000000001</v>
      </c>
      <c r="D136" s="1">
        <v>4.3330000000000002</v>
      </c>
      <c r="E136" s="1">
        <f t="shared" si="10"/>
        <v>10.371</v>
      </c>
      <c r="F136" s="10">
        <v>436000000</v>
      </c>
      <c r="J136" s="1">
        <v>66</v>
      </c>
      <c r="K136" s="1">
        <v>251</v>
      </c>
      <c r="L136" s="1">
        <v>283</v>
      </c>
      <c r="M136" s="1">
        <v>2.2345807010000001</v>
      </c>
      <c r="P136" s="1">
        <v>2.605263753</v>
      </c>
      <c r="Q136" s="2"/>
    </row>
    <row r="137" spans="1:17" x14ac:dyDescent="0.4">
      <c r="A137" s="1" t="s">
        <v>3</v>
      </c>
      <c r="B137" s="1">
        <v>2012</v>
      </c>
      <c r="C137" s="1">
        <v>15.307</v>
      </c>
      <c r="D137" s="1">
        <v>3.34</v>
      </c>
      <c r="E137" s="1">
        <f t="shared" si="10"/>
        <v>11.967000000000001</v>
      </c>
      <c r="F137" s="10">
        <v>436000000</v>
      </c>
      <c r="J137" s="1">
        <v>78</v>
      </c>
      <c r="K137" s="1">
        <v>260</v>
      </c>
      <c r="L137" s="1">
        <v>285</v>
      </c>
      <c r="M137" s="1">
        <v>2.2860889160000002</v>
      </c>
      <c r="P137" s="1">
        <v>2.6114749229999998</v>
      </c>
      <c r="Q137" s="2"/>
    </row>
    <row r="138" spans="1:17" x14ac:dyDescent="0.4">
      <c r="A138" s="1" t="s">
        <v>3</v>
      </c>
      <c r="B138" s="1">
        <v>2013</v>
      </c>
      <c r="C138" s="1">
        <v>15.196</v>
      </c>
      <c r="D138" s="1">
        <v>5.04</v>
      </c>
      <c r="E138" s="1">
        <f t="shared" si="10"/>
        <v>10.155999999999999</v>
      </c>
      <c r="F138" s="10">
        <v>436000000</v>
      </c>
      <c r="J138" s="1">
        <v>73</v>
      </c>
      <c r="K138" s="1">
        <v>256</v>
      </c>
      <c r="L138" s="1">
        <v>266</v>
      </c>
      <c r="M138" s="1">
        <v>2.1871174610000002</v>
      </c>
      <c r="P138" s="1">
        <v>2.6092709269999999</v>
      </c>
      <c r="Q138" s="2"/>
    </row>
    <row r="139" spans="1:17" x14ac:dyDescent="0.4">
      <c r="A139" s="1" t="s">
        <v>3</v>
      </c>
      <c r="B139" s="1">
        <v>2014</v>
      </c>
      <c r="C139" s="1">
        <v>15.007</v>
      </c>
      <c r="D139" s="1">
        <v>4.9880000000000004</v>
      </c>
      <c r="E139" s="1">
        <f t="shared" si="10"/>
        <v>10.018999999999998</v>
      </c>
      <c r="F139" s="10">
        <v>436000000</v>
      </c>
      <c r="J139" s="1">
        <v>79</v>
      </c>
      <c r="K139" s="1">
        <v>259</v>
      </c>
      <c r="L139" s="1">
        <v>275</v>
      </c>
      <c r="M139" s="1">
        <v>2.176917043</v>
      </c>
      <c r="P139" s="1">
        <v>2.6105585260000002</v>
      </c>
      <c r="Q139" s="2"/>
    </row>
    <row r="140" spans="1:17" x14ac:dyDescent="0.4">
      <c r="A140" s="1" t="s">
        <v>3</v>
      </c>
      <c r="B140" s="1">
        <v>2015</v>
      </c>
      <c r="C140" s="1">
        <v>14.554</v>
      </c>
      <c r="D140" s="1">
        <v>4.3869999999999996</v>
      </c>
      <c r="E140" s="1">
        <f t="shared" si="10"/>
        <v>10.167000000000002</v>
      </c>
      <c r="F140" s="10">
        <v>436000000</v>
      </c>
      <c r="J140" s="1">
        <v>53</v>
      </c>
      <c r="K140" s="1">
        <v>251</v>
      </c>
      <c r="L140" s="1">
        <v>278</v>
      </c>
      <c r="M140" s="1">
        <v>2.1757264570000001</v>
      </c>
      <c r="P140" s="1">
        <v>2.6187433979999999</v>
      </c>
      <c r="Q140" s="2"/>
    </row>
    <row r="141" spans="1:17" x14ac:dyDescent="0.4">
      <c r="A141" s="1" t="s">
        <v>3</v>
      </c>
      <c r="B141" s="1">
        <v>2016</v>
      </c>
      <c r="C141" s="1">
        <v>14.566000000000001</v>
      </c>
      <c r="D141" s="1">
        <v>4.1449999999999996</v>
      </c>
      <c r="E141" s="1">
        <f t="shared" si="10"/>
        <v>10.421000000000001</v>
      </c>
      <c r="F141" s="10">
        <v>436000000</v>
      </c>
      <c r="J141" s="1">
        <v>82</v>
      </c>
      <c r="K141" s="1">
        <v>251</v>
      </c>
      <c r="L141" s="1">
        <v>287</v>
      </c>
      <c r="M141" s="1">
        <v>2.188035497</v>
      </c>
      <c r="P141" s="1">
        <v>2.570005621</v>
      </c>
      <c r="Q141" s="2"/>
    </row>
    <row r="142" spans="1:17" x14ac:dyDescent="0.4">
      <c r="A142" s="1" t="s">
        <v>3</v>
      </c>
      <c r="B142" s="1">
        <v>2017</v>
      </c>
      <c r="C142" s="1">
        <v>14.449</v>
      </c>
      <c r="D142" s="1">
        <v>4.6349999999999998</v>
      </c>
      <c r="E142" s="1">
        <f t="shared" si="10"/>
        <v>9.8140000000000001</v>
      </c>
      <c r="F142" s="10">
        <v>436000000</v>
      </c>
      <c r="J142" s="1">
        <v>64</v>
      </c>
      <c r="K142" s="1">
        <v>256</v>
      </c>
      <c r="L142" s="1">
        <v>275</v>
      </c>
      <c r="M142" s="1">
        <v>2.1458967809999998</v>
      </c>
      <c r="P142" s="1">
        <v>2.588296567</v>
      </c>
      <c r="Q142" s="2"/>
    </row>
    <row r="143" spans="1:17" x14ac:dyDescent="0.4">
      <c r="A143" s="1" t="s">
        <v>3</v>
      </c>
      <c r="B143" s="1">
        <v>2018</v>
      </c>
      <c r="C143" s="1">
        <v>14.499000000000001</v>
      </c>
      <c r="D143" s="1">
        <v>4.63</v>
      </c>
      <c r="E143" s="1">
        <f t="shared" si="10"/>
        <v>9.8689999999999998</v>
      </c>
      <c r="F143" s="10">
        <v>436000000</v>
      </c>
      <c r="J143" s="1">
        <v>73</v>
      </c>
      <c r="K143" s="1">
        <v>264</v>
      </c>
      <c r="L143" s="1">
        <v>282</v>
      </c>
      <c r="M143" s="1">
        <v>2.1494334789999998</v>
      </c>
      <c r="P143" s="1">
        <v>2.5975446560000002</v>
      </c>
      <c r="Q143" s="2"/>
    </row>
    <row r="144" spans="1:17" x14ac:dyDescent="0.4">
      <c r="A144" s="1" t="s">
        <v>3</v>
      </c>
      <c r="B144" s="1">
        <v>2019</v>
      </c>
      <c r="C144" s="1">
        <v>14.896000000000001</v>
      </c>
      <c r="D144" s="1">
        <v>4.1660000000000004</v>
      </c>
      <c r="E144" s="1">
        <f t="shared" si="10"/>
        <v>10.73</v>
      </c>
      <c r="F144" s="10">
        <v>436000000</v>
      </c>
      <c r="J144" s="1">
        <v>70</v>
      </c>
      <c r="K144" s="1">
        <v>261</v>
      </c>
      <c r="L144" s="1">
        <v>287</v>
      </c>
      <c r="M144" s="1">
        <v>2.1995547719999999</v>
      </c>
      <c r="P144" s="1">
        <v>2.601934193</v>
      </c>
      <c r="Q144" s="2"/>
    </row>
    <row r="145" spans="1:18" x14ac:dyDescent="0.4">
      <c r="A145" s="1" t="s">
        <v>3</v>
      </c>
      <c r="B145" s="1">
        <v>2020</v>
      </c>
      <c r="C145" s="1">
        <v>15.071</v>
      </c>
      <c r="D145" s="1">
        <v>3.7930000000000001</v>
      </c>
      <c r="E145" s="1">
        <f t="shared" si="10"/>
        <v>11.277999999999999</v>
      </c>
      <c r="F145" s="10">
        <v>436000000</v>
      </c>
      <c r="J145" s="1">
        <v>64</v>
      </c>
      <c r="K145" s="1">
        <v>257</v>
      </c>
      <c r="L145" s="1">
        <v>292</v>
      </c>
      <c r="M145" s="1">
        <v>2.2368790750000001</v>
      </c>
      <c r="P145" s="1">
        <v>2.6126507399999999</v>
      </c>
      <c r="Q145" s="2"/>
    </row>
    <row r="146" spans="1:18" x14ac:dyDescent="0.4">
      <c r="A146" s="1" t="s">
        <v>3</v>
      </c>
      <c r="B146" s="1">
        <v>2021</v>
      </c>
      <c r="C146" s="1">
        <v>14.865</v>
      </c>
      <c r="D146" s="1">
        <v>4.7569999999999997</v>
      </c>
      <c r="E146" s="1">
        <f t="shared" si="10"/>
        <v>10.108000000000001</v>
      </c>
      <c r="F146" s="10">
        <v>436000000</v>
      </c>
      <c r="J146" s="1">
        <v>70</v>
      </c>
      <c r="K146" s="1">
        <v>257</v>
      </c>
      <c r="L146" s="1">
        <v>269</v>
      </c>
      <c r="M146" s="1">
        <v>2.169968721</v>
      </c>
      <c r="P146" s="1">
        <v>2.592196173</v>
      </c>
      <c r="Q146" s="2"/>
    </row>
    <row r="147" spans="1:18" x14ac:dyDescent="0.4">
      <c r="A147" s="1" t="s">
        <v>3</v>
      </c>
      <c r="B147" s="1">
        <v>2022</v>
      </c>
      <c r="C147" s="1">
        <v>14.94</v>
      </c>
      <c r="D147" s="1">
        <v>4.6920000000000002</v>
      </c>
      <c r="E147" s="1">
        <f t="shared" si="10"/>
        <v>10.247999999999999</v>
      </c>
      <c r="F147" s="10">
        <v>436000000</v>
      </c>
      <c r="J147" s="1">
        <v>52</v>
      </c>
      <c r="K147" s="1">
        <v>258</v>
      </c>
      <c r="L147" s="1">
        <v>278</v>
      </c>
      <c r="M147" s="1">
        <v>2.1774762700000001</v>
      </c>
      <c r="P147" s="1">
        <v>2.6337754929999999</v>
      </c>
      <c r="Q147" s="2"/>
    </row>
    <row r="148" spans="1:18" x14ac:dyDescent="0.4">
      <c r="A148" s="1" t="s">
        <v>3</v>
      </c>
      <c r="B148" s="1">
        <v>2023</v>
      </c>
      <c r="C148" s="1">
        <v>14.635999999999999</v>
      </c>
      <c r="D148" s="1">
        <v>4.2439999999999998</v>
      </c>
      <c r="E148" s="1">
        <f t="shared" si="10"/>
        <v>10.391999999999999</v>
      </c>
      <c r="F148" s="10">
        <v>436000000</v>
      </c>
      <c r="J148" s="1">
        <v>64</v>
      </c>
      <c r="K148" s="1">
        <v>260</v>
      </c>
      <c r="L148" s="1">
        <v>276</v>
      </c>
      <c r="M148" s="1">
        <v>2.184745763</v>
      </c>
      <c r="P148" s="1">
        <v>2.6147476030000001</v>
      </c>
      <c r="Q148" s="2"/>
    </row>
    <row r="149" spans="1:18" x14ac:dyDescent="0.4">
      <c r="A149" s="1" t="s">
        <v>3</v>
      </c>
      <c r="B149" s="1">
        <v>2024</v>
      </c>
      <c r="C149" s="1">
        <v>15.041</v>
      </c>
      <c r="D149" s="1">
        <v>4.2450000000000001</v>
      </c>
      <c r="E149" s="1">
        <f t="shared" si="10"/>
        <v>10.795999999999999</v>
      </c>
      <c r="F149" s="10">
        <v>436000000</v>
      </c>
      <c r="J149" s="1">
        <v>70</v>
      </c>
      <c r="K149" s="1">
        <v>254</v>
      </c>
      <c r="L149" s="1">
        <v>277</v>
      </c>
      <c r="M149" s="1">
        <v>2.2137178569999998</v>
      </c>
      <c r="P149" s="1">
        <v>2.6044464029999999</v>
      </c>
      <c r="Q149" s="2"/>
    </row>
    <row r="150" spans="1:18" x14ac:dyDescent="0.4">
      <c r="A150" s="1" t="s">
        <v>3</v>
      </c>
      <c r="B150" s="1">
        <v>2025</v>
      </c>
      <c r="C150" s="1">
        <v>14.348000000000001</v>
      </c>
      <c r="D150" s="1">
        <v>4.5430000000000001</v>
      </c>
      <c r="E150" s="1">
        <f t="shared" si="10"/>
        <v>9.8049999999999997</v>
      </c>
      <c r="F150" s="10">
        <v>436000000</v>
      </c>
      <c r="J150" s="1">
        <v>80</v>
      </c>
      <c r="K150" s="1">
        <v>251</v>
      </c>
      <c r="L150" s="1">
        <v>278</v>
      </c>
      <c r="M150" s="1">
        <v>2.1594592389999998</v>
      </c>
      <c r="P150" s="1">
        <v>2.577719138</v>
      </c>
      <c r="Q150" s="2"/>
    </row>
    <row r="151" spans="1:18" x14ac:dyDescent="0.4">
      <c r="A151" s="1" t="s">
        <v>3</v>
      </c>
      <c r="B151" s="1">
        <v>2026</v>
      </c>
      <c r="C151" s="1">
        <v>13.19292709</v>
      </c>
      <c r="D151" s="1">
        <v>2.423435021</v>
      </c>
      <c r="E151" s="1">
        <f t="shared" si="10"/>
        <v>10.769492069</v>
      </c>
      <c r="F151" s="10">
        <v>436000000</v>
      </c>
      <c r="G151" s="1">
        <v>9.3548481260000003</v>
      </c>
      <c r="H151" s="1">
        <v>12.28873879</v>
      </c>
      <c r="I151" s="1">
        <v>10.82179346</v>
      </c>
      <c r="J151" s="1">
        <v>69</v>
      </c>
      <c r="K151" s="1">
        <v>257</v>
      </c>
      <c r="L151" s="1">
        <v>278</v>
      </c>
      <c r="M151" s="1">
        <v>2.2047995770000002</v>
      </c>
      <c r="N151" s="1">
        <f t="shared" ref="N151:N214" si="11">M151*G151/I151</f>
        <v>1.9059285567906268</v>
      </c>
      <c r="O151" s="1">
        <f t="shared" ref="O151:O214" si="12">H151*M151/I151</f>
        <v>2.5036705963944255</v>
      </c>
      <c r="P151" s="1">
        <v>2.601376863</v>
      </c>
      <c r="Q151" s="1">
        <f t="shared" ref="Q151:Q214" si="13">P151*G151/I151</f>
        <v>2.2487479142718096</v>
      </c>
      <c r="R151">
        <f t="shared" si="8"/>
        <v>2.9540058107666578</v>
      </c>
    </row>
    <row r="152" spans="1:18" x14ac:dyDescent="0.4">
      <c r="A152" s="1" t="s">
        <v>3</v>
      </c>
      <c r="B152" s="1">
        <v>2027</v>
      </c>
      <c r="C152" s="1">
        <v>13.11285067</v>
      </c>
      <c r="D152" s="1">
        <v>2.2967202000000002</v>
      </c>
      <c r="E152" s="1">
        <f t="shared" si="10"/>
        <v>10.816130470000001</v>
      </c>
      <c r="F152" s="10">
        <v>436000000</v>
      </c>
      <c r="G152" s="1">
        <v>9.5269367840000001</v>
      </c>
      <c r="H152" s="1">
        <v>12.2365423</v>
      </c>
      <c r="I152" s="1">
        <v>10.88173954</v>
      </c>
      <c r="J152" s="1">
        <v>69</v>
      </c>
      <c r="K152" s="1">
        <v>257</v>
      </c>
      <c r="L152" s="1">
        <v>279</v>
      </c>
      <c r="M152" s="1">
        <v>2.214812829</v>
      </c>
      <c r="N152" s="1">
        <f t="shared" si="11"/>
        <v>1.939063302582521</v>
      </c>
      <c r="O152" s="1">
        <f t="shared" si="12"/>
        <v>2.4905623562316181</v>
      </c>
      <c r="P152" s="1">
        <v>2.6113291639999998</v>
      </c>
      <c r="Q152" s="1">
        <f t="shared" si="13"/>
        <v>2.2862123997909589</v>
      </c>
      <c r="R152">
        <f t="shared" si="8"/>
        <v>2.9364459291689347</v>
      </c>
    </row>
    <row r="153" spans="1:18" x14ac:dyDescent="0.4">
      <c r="A153" s="1" t="s">
        <v>3</v>
      </c>
      <c r="B153" s="1">
        <v>2028</v>
      </c>
      <c r="C153" s="1">
        <v>13.10246476</v>
      </c>
      <c r="D153" s="1">
        <v>2.2260933139999999</v>
      </c>
      <c r="E153" s="1">
        <f t="shared" si="10"/>
        <v>10.876371446</v>
      </c>
      <c r="F153" s="10">
        <v>436000000</v>
      </c>
      <c r="G153" s="1">
        <v>9.5931237589999991</v>
      </c>
      <c r="H153" s="1">
        <v>12.374580440000001</v>
      </c>
      <c r="I153" s="1">
        <v>10.9838521</v>
      </c>
      <c r="J153" s="1">
        <v>69</v>
      </c>
      <c r="K153" s="1">
        <v>257</v>
      </c>
      <c r="L153" s="1">
        <v>280</v>
      </c>
      <c r="M153" s="1">
        <v>2.2216976800000001</v>
      </c>
      <c r="N153" s="1">
        <f t="shared" si="11"/>
        <v>1.9403958288297765</v>
      </c>
      <c r="O153" s="1">
        <f t="shared" si="12"/>
        <v>2.5029995309679545</v>
      </c>
      <c r="P153" s="1">
        <v>2.6157293739999998</v>
      </c>
      <c r="Q153" s="1">
        <f t="shared" si="13"/>
        <v>2.2845369162275584</v>
      </c>
      <c r="R153">
        <f t="shared" si="8"/>
        <v>2.9469218315342984</v>
      </c>
    </row>
    <row r="154" spans="1:18" x14ac:dyDescent="0.4">
      <c r="A154" s="1" t="s">
        <v>3</v>
      </c>
      <c r="B154" s="1">
        <v>2029</v>
      </c>
      <c r="C154" s="1">
        <v>13.0980843</v>
      </c>
      <c r="D154" s="1">
        <v>2.114756699</v>
      </c>
      <c r="E154" s="1">
        <f t="shared" si="10"/>
        <v>10.983327600999999</v>
      </c>
      <c r="F154" s="10">
        <v>436000000</v>
      </c>
      <c r="G154" s="1">
        <v>9.3316356620000001</v>
      </c>
      <c r="H154" s="1">
        <v>12.51801826</v>
      </c>
      <c r="I154" s="1">
        <v>10.924826960000001</v>
      </c>
      <c r="J154" s="1">
        <v>69</v>
      </c>
      <c r="K154" s="1">
        <v>257</v>
      </c>
      <c r="L154" s="1">
        <v>281</v>
      </c>
      <c r="M154" s="1">
        <v>2.229871019</v>
      </c>
      <c r="N154" s="1">
        <f t="shared" si="11"/>
        <v>1.9046840740588424</v>
      </c>
      <c r="O154" s="1">
        <f t="shared" si="12"/>
        <v>2.5550579643493783</v>
      </c>
      <c r="P154" s="1">
        <v>2.6184749900000002</v>
      </c>
      <c r="Q154" s="1">
        <f t="shared" si="13"/>
        <v>2.2366170820099738</v>
      </c>
      <c r="R154">
        <f t="shared" si="8"/>
        <v>3.0003328984693884</v>
      </c>
    </row>
    <row r="155" spans="1:18" x14ac:dyDescent="0.4">
      <c r="A155" s="1" t="s">
        <v>3</v>
      </c>
      <c r="B155" s="1">
        <v>2030</v>
      </c>
      <c r="C155" s="1">
        <v>13.02861746</v>
      </c>
      <c r="D155" s="1">
        <v>2.0197046420000002</v>
      </c>
      <c r="E155" s="1">
        <f t="shared" si="10"/>
        <v>11.008912817999999</v>
      </c>
      <c r="F155" s="10">
        <v>436000000</v>
      </c>
      <c r="G155" s="1">
        <v>9.5665727109999992</v>
      </c>
      <c r="H155" s="1">
        <v>12.431092270000001</v>
      </c>
      <c r="I155" s="1">
        <v>10.99883249</v>
      </c>
      <c r="J155" s="1">
        <v>69</v>
      </c>
      <c r="K155" s="1">
        <v>257</v>
      </c>
      <c r="L155" s="1">
        <v>281</v>
      </c>
      <c r="M155" s="1">
        <v>2.232679455</v>
      </c>
      <c r="N155" s="1">
        <f t="shared" si="11"/>
        <v>1.9419415984408133</v>
      </c>
      <c r="O155" s="1">
        <f t="shared" si="12"/>
        <v>2.523417311762179</v>
      </c>
      <c r="P155" s="1">
        <v>2.6199142499999999</v>
      </c>
      <c r="Q155" s="1">
        <f t="shared" si="13"/>
        <v>2.2787509667046515</v>
      </c>
      <c r="R155">
        <f t="shared" si="8"/>
        <v>2.9610775335335475</v>
      </c>
    </row>
    <row r="156" spans="1:18" x14ac:dyDescent="0.4">
      <c r="A156" s="1" t="s">
        <v>3</v>
      </c>
      <c r="B156" s="1">
        <v>2031</v>
      </c>
      <c r="C156" s="1">
        <v>13.006130369999999</v>
      </c>
      <c r="D156" s="1">
        <v>1.9458985040000001</v>
      </c>
      <c r="E156" s="1">
        <f t="shared" si="10"/>
        <v>11.060231865999999</v>
      </c>
      <c r="F156" s="10">
        <v>436000000</v>
      </c>
      <c r="G156" s="1">
        <v>9.8215720789999992</v>
      </c>
      <c r="H156" s="1">
        <v>12.496359829999999</v>
      </c>
      <c r="I156" s="1">
        <v>11.158965950000001</v>
      </c>
      <c r="J156" s="1">
        <v>69</v>
      </c>
      <c r="K156" s="1">
        <v>257</v>
      </c>
      <c r="L156" s="1">
        <v>282</v>
      </c>
      <c r="M156" s="1">
        <v>2.2367600840000001</v>
      </c>
      <c r="N156" s="1">
        <f t="shared" si="11"/>
        <v>1.9686860312031056</v>
      </c>
      <c r="O156" s="1">
        <f t="shared" si="12"/>
        <v>2.5048341386008999</v>
      </c>
      <c r="P156" s="1">
        <v>2.6215855010000002</v>
      </c>
      <c r="Q156" s="1">
        <f t="shared" si="13"/>
        <v>2.3073904046936202</v>
      </c>
      <c r="R156">
        <f t="shared" si="8"/>
        <v>2.9357805994207578</v>
      </c>
    </row>
    <row r="157" spans="1:18" x14ac:dyDescent="0.4">
      <c r="A157" s="1" t="s">
        <v>3</v>
      </c>
      <c r="B157" s="1">
        <v>2032</v>
      </c>
      <c r="C157" s="1">
        <v>12.955304780000001</v>
      </c>
      <c r="D157" s="1">
        <v>1.903460417</v>
      </c>
      <c r="E157" s="1">
        <f t="shared" si="10"/>
        <v>11.051844363000001</v>
      </c>
      <c r="F157" s="10">
        <v>436000000</v>
      </c>
      <c r="G157" s="1">
        <v>9.8538418480000001</v>
      </c>
      <c r="H157" s="1">
        <v>12.453130489999999</v>
      </c>
      <c r="I157" s="1">
        <v>11.153486170000001</v>
      </c>
      <c r="J157" s="1">
        <v>69</v>
      </c>
      <c r="K157" s="1">
        <v>257</v>
      </c>
      <c r="L157" s="1">
        <v>283</v>
      </c>
      <c r="M157" s="1">
        <v>2.236515335</v>
      </c>
      <c r="N157" s="1">
        <f t="shared" si="11"/>
        <v>1.9759085245467012</v>
      </c>
      <c r="O157" s="1">
        <f t="shared" si="12"/>
        <v>2.4971221450522552</v>
      </c>
      <c r="P157" s="1">
        <v>2.6214571210000002</v>
      </c>
      <c r="Q157" s="1">
        <f t="shared" si="13"/>
        <v>2.3159955092002775</v>
      </c>
      <c r="R157">
        <f t="shared" si="8"/>
        <v>2.9269187323296531</v>
      </c>
    </row>
    <row r="158" spans="1:18" x14ac:dyDescent="0.4">
      <c r="A158" s="1" t="s">
        <v>3</v>
      </c>
      <c r="B158" s="1">
        <v>2033</v>
      </c>
      <c r="C158" s="1">
        <v>12.93279628</v>
      </c>
      <c r="D158" s="1">
        <v>1.8453305099999999</v>
      </c>
      <c r="E158" s="1">
        <f t="shared" si="10"/>
        <v>11.08746577</v>
      </c>
      <c r="F158" s="10">
        <v>436000000</v>
      </c>
      <c r="G158" s="1">
        <v>9.7811543220000008</v>
      </c>
      <c r="H158" s="1">
        <v>12.73269554</v>
      </c>
      <c r="I158" s="1">
        <v>11.25692493</v>
      </c>
      <c r="J158" s="1">
        <v>69</v>
      </c>
      <c r="K158" s="1">
        <v>257</v>
      </c>
      <c r="L158" s="1">
        <v>284</v>
      </c>
      <c r="M158" s="1">
        <v>2.2381701459999999</v>
      </c>
      <c r="N158" s="1">
        <f t="shared" si="11"/>
        <v>1.9447484755429805</v>
      </c>
      <c r="O158" s="1">
        <f t="shared" si="12"/>
        <v>2.5315918168546716</v>
      </c>
      <c r="P158" s="1">
        <v>2.6207069660000002</v>
      </c>
      <c r="Q158" s="1">
        <f t="shared" si="13"/>
        <v>2.2771351347358064</v>
      </c>
      <c r="R158">
        <f t="shared" si="8"/>
        <v>2.9642787977298104</v>
      </c>
    </row>
    <row r="159" spans="1:18" x14ac:dyDescent="0.4">
      <c r="A159" s="1" t="s">
        <v>3</v>
      </c>
      <c r="B159" s="1">
        <v>2034</v>
      </c>
      <c r="C159" s="1">
        <v>12.849625039999999</v>
      </c>
      <c r="D159" s="1">
        <v>1.728619514</v>
      </c>
      <c r="E159" s="1">
        <f t="shared" si="10"/>
        <v>11.121005525999999</v>
      </c>
      <c r="F159" s="10">
        <v>436000000</v>
      </c>
      <c r="G159" s="1">
        <v>9.8010238970000003</v>
      </c>
      <c r="H159" s="1">
        <v>12.867820480000001</v>
      </c>
      <c r="I159" s="1">
        <v>11.33442219</v>
      </c>
      <c r="J159" s="1">
        <v>69</v>
      </c>
      <c r="K159" s="1">
        <v>257</v>
      </c>
      <c r="L159" s="1">
        <v>284</v>
      </c>
      <c r="M159" s="1">
        <v>2.2397632590000001</v>
      </c>
      <c r="N159" s="1">
        <f t="shared" si="11"/>
        <v>1.936752739319092</v>
      </c>
      <c r="O159" s="1">
        <f t="shared" si="12"/>
        <v>2.5427737780880868</v>
      </c>
      <c r="P159" s="1">
        <v>2.6200265919999999</v>
      </c>
      <c r="Q159" s="1">
        <f t="shared" si="13"/>
        <v>2.2655714432115635</v>
      </c>
      <c r="R159">
        <f t="shared" si="8"/>
        <v>2.9744817400949666</v>
      </c>
    </row>
    <row r="160" spans="1:18" x14ac:dyDescent="0.4">
      <c r="A160" s="1" t="s">
        <v>3</v>
      </c>
      <c r="B160" s="1">
        <v>2035</v>
      </c>
      <c r="C160" s="1">
        <v>12.835550169999999</v>
      </c>
      <c r="D160" s="1">
        <v>1.622933966</v>
      </c>
      <c r="E160" s="1">
        <f t="shared" si="10"/>
        <v>11.212616204</v>
      </c>
      <c r="F160" s="10">
        <v>436000000</v>
      </c>
      <c r="G160" s="1">
        <v>9.8710607790000005</v>
      </c>
      <c r="H160" s="1">
        <v>12.645273700000001</v>
      </c>
      <c r="I160" s="1">
        <v>11.258167240000001</v>
      </c>
      <c r="J160" s="1">
        <v>69</v>
      </c>
      <c r="K160" s="1">
        <v>257</v>
      </c>
      <c r="L160" s="1">
        <v>285</v>
      </c>
      <c r="M160" s="1">
        <v>2.2457414</v>
      </c>
      <c r="N160" s="1">
        <f t="shared" si="11"/>
        <v>1.9690460605838849</v>
      </c>
      <c r="O160" s="1">
        <f t="shared" si="12"/>
        <v>2.5224367392166385</v>
      </c>
      <c r="P160" s="1">
        <v>2.6212999670000001</v>
      </c>
      <c r="Q160" s="1">
        <f t="shared" si="13"/>
        <v>2.2983324676786108</v>
      </c>
      <c r="R160">
        <f t="shared" si="8"/>
        <v>2.9442674660885539</v>
      </c>
    </row>
    <row r="161" spans="1:18" x14ac:dyDescent="0.4">
      <c r="A161" s="1" t="s">
        <v>3</v>
      </c>
      <c r="B161" s="1">
        <v>2036</v>
      </c>
      <c r="C161" s="1">
        <v>12.80053517</v>
      </c>
      <c r="D161" s="1">
        <v>1.6079457909999999</v>
      </c>
      <c r="E161" s="1">
        <f t="shared" si="10"/>
        <v>11.192589378999999</v>
      </c>
      <c r="F161" s="10">
        <v>436000000</v>
      </c>
      <c r="G161" s="1">
        <v>9.9157198829999995</v>
      </c>
      <c r="H161" s="1">
        <v>12.6348325</v>
      </c>
      <c r="I161" s="1">
        <v>11.27527619</v>
      </c>
      <c r="J161" s="1">
        <v>69</v>
      </c>
      <c r="K161" s="1">
        <v>257</v>
      </c>
      <c r="L161" s="1">
        <v>286</v>
      </c>
      <c r="M161" s="1">
        <v>2.2448599599999999</v>
      </c>
      <c r="N161" s="1">
        <f t="shared" si="11"/>
        <v>1.974178030305312</v>
      </c>
      <c r="O161" s="1">
        <f t="shared" si="12"/>
        <v>2.5155418902919751</v>
      </c>
      <c r="P161" s="1">
        <v>2.62117332</v>
      </c>
      <c r="Q161" s="1">
        <f t="shared" si="13"/>
        <v>2.3051160759116729</v>
      </c>
      <c r="R161">
        <f t="shared" si="8"/>
        <v>2.9372305647857395</v>
      </c>
    </row>
    <row r="162" spans="1:18" x14ac:dyDescent="0.4">
      <c r="A162" s="1" t="s">
        <v>3</v>
      </c>
      <c r="B162" s="1">
        <v>2037</v>
      </c>
      <c r="C162" s="1">
        <v>12.77855243</v>
      </c>
      <c r="D162" s="1">
        <v>1.4943807629999999</v>
      </c>
      <c r="E162" s="1">
        <f t="shared" si="10"/>
        <v>11.284171666999999</v>
      </c>
      <c r="F162" s="10">
        <v>436000000</v>
      </c>
      <c r="G162" s="1">
        <v>10.172378589999999</v>
      </c>
      <c r="H162" s="1">
        <v>12.79879139</v>
      </c>
      <c r="I162" s="1">
        <v>11.48558499</v>
      </c>
      <c r="J162" s="1">
        <v>69</v>
      </c>
      <c r="K162" s="1">
        <v>257</v>
      </c>
      <c r="L162" s="1">
        <v>287</v>
      </c>
      <c r="M162" s="1">
        <v>2.2500276860000001</v>
      </c>
      <c r="N162" s="1">
        <f t="shared" si="11"/>
        <v>1.9927703708519284</v>
      </c>
      <c r="O162" s="1">
        <f t="shared" si="12"/>
        <v>2.5072850011480718</v>
      </c>
      <c r="P162" s="1">
        <v>2.6210225</v>
      </c>
      <c r="Q162" s="1">
        <f t="shared" si="13"/>
        <v>2.3213474268939498</v>
      </c>
      <c r="R162">
        <f t="shared" si="8"/>
        <v>2.9206975731060503</v>
      </c>
    </row>
    <row r="163" spans="1:18" x14ac:dyDescent="0.4">
      <c r="A163" s="1" t="s">
        <v>3</v>
      </c>
      <c r="B163" s="1">
        <v>2038</v>
      </c>
      <c r="C163" s="1">
        <v>12.75193015</v>
      </c>
      <c r="D163" s="1">
        <v>1.3930968290000001</v>
      </c>
      <c r="E163" s="1">
        <f t="shared" si="10"/>
        <v>11.358833320999999</v>
      </c>
      <c r="F163" s="10">
        <v>436000000</v>
      </c>
      <c r="G163" s="1">
        <v>10.44430476</v>
      </c>
      <c r="H163" s="1">
        <v>12.85274004</v>
      </c>
      <c r="I163" s="1">
        <v>11.648522399999999</v>
      </c>
      <c r="J163" s="1">
        <v>69</v>
      </c>
      <c r="K163" s="1">
        <v>257</v>
      </c>
      <c r="L163" s="1">
        <v>287</v>
      </c>
      <c r="M163" s="1">
        <v>2.254857994</v>
      </c>
      <c r="N163" s="1">
        <f t="shared" si="11"/>
        <v>2.0217520532782984</v>
      </c>
      <c r="O163" s="1">
        <f t="shared" si="12"/>
        <v>2.487963934721702</v>
      </c>
      <c r="P163" s="1">
        <v>2.6215915559999998</v>
      </c>
      <c r="Q163" s="1">
        <f t="shared" si="13"/>
        <v>2.3505729076081447</v>
      </c>
      <c r="R163">
        <f t="shared" si="8"/>
        <v>2.8926102043918549</v>
      </c>
    </row>
    <row r="164" spans="1:18" x14ac:dyDescent="0.4">
      <c r="A164" s="1" t="s">
        <v>3</v>
      </c>
      <c r="B164" s="1">
        <v>2039</v>
      </c>
      <c r="C164" s="1">
        <v>12.67045504</v>
      </c>
      <c r="D164" s="1">
        <v>1.349763998</v>
      </c>
      <c r="E164" s="1">
        <f t="shared" si="10"/>
        <v>11.320691042</v>
      </c>
      <c r="F164" s="10">
        <v>436000000</v>
      </c>
      <c r="G164" s="1">
        <v>10.261854019999999</v>
      </c>
      <c r="H164" s="1">
        <v>12.68091622</v>
      </c>
      <c r="I164" s="1">
        <v>11.471385120000001</v>
      </c>
      <c r="J164" s="1">
        <v>69</v>
      </c>
      <c r="K164" s="1">
        <v>257</v>
      </c>
      <c r="L164" s="1">
        <v>288</v>
      </c>
      <c r="M164" s="1">
        <v>2.2532350179999998</v>
      </c>
      <c r="N164" s="1">
        <f t="shared" si="11"/>
        <v>2.0156562250843573</v>
      </c>
      <c r="O164" s="1">
        <f t="shared" si="12"/>
        <v>2.4908138109156419</v>
      </c>
      <c r="P164" s="1">
        <v>2.6221611340000002</v>
      </c>
      <c r="Q164" s="1">
        <f t="shared" si="13"/>
        <v>2.3456831492050592</v>
      </c>
      <c r="R164">
        <f t="shared" si="8"/>
        <v>2.8986391187949407</v>
      </c>
    </row>
    <row r="165" spans="1:18" x14ac:dyDescent="0.4">
      <c r="A165" s="1" t="s">
        <v>3</v>
      </c>
      <c r="B165" s="1">
        <v>2040</v>
      </c>
      <c r="C165" s="1">
        <v>12.597903540000001</v>
      </c>
      <c r="D165" s="1">
        <v>1.3177585430000001</v>
      </c>
      <c r="E165" s="1">
        <f t="shared" si="10"/>
        <v>11.280144997000001</v>
      </c>
      <c r="F165" s="10">
        <v>436000000</v>
      </c>
      <c r="G165" s="1">
        <v>10.13302301</v>
      </c>
      <c r="H165" s="1">
        <v>12.666779549999999</v>
      </c>
      <c r="I165" s="1">
        <v>11.39990128</v>
      </c>
      <c r="J165" s="1">
        <v>69</v>
      </c>
      <c r="K165" s="1">
        <v>257</v>
      </c>
      <c r="L165" s="1">
        <v>289</v>
      </c>
      <c r="M165" s="1">
        <v>2.2498979120000002</v>
      </c>
      <c r="N165" s="1">
        <f t="shared" si="11"/>
        <v>1.9998653279958016</v>
      </c>
      <c r="O165" s="1">
        <f t="shared" si="12"/>
        <v>2.4999304960041986</v>
      </c>
      <c r="P165" s="1">
        <v>2.6203662520000002</v>
      </c>
      <c r="Q165" s="1">
        <f t="shared" si="13"/>
        <v>2.3291632860651807</v>
      </c>
      <c r="R165">
        <f t="shared" si="8"/>
        <v>2.9115692179348196</v>
      </c>
    </row>
    <row r="166" spans="1:18" x14ac:dyDescent="0.4">
      <c r="A166" s="1" t="s">
        <v>3</v>
      </c>
      <c r="B166" s="1">
        <v>2041</v>
      </c>
      <c r="C166" s="1">
        <v>12.55551863</v>
      </c>
      <c r="D166" s="1">
        <v>1.268181175</v>
      </c>
      <c r="E166" s="1">
        <f t="shared" si="10"/>
        <v>11.287337454999999</v>
      </c>
      <c r="F166" s="10">
        <v>436000000</v>
      </c>
      <c r="G166" s="1">
        <v>10.258665540000001</v>
      </c>
      <c r="H166" s="1">
        <v>12.79987554</v>
      </c>
      <c r="I166" s="1">
        <v>11.529270540000001</v>
      </c>
      <c r="J166" s="1">
        <v>69</v>
      </c>
      <c r="K166" s="1">
        <v>257</v>
      </c>
      <c r="L166" s="1">
        <v>290</v>
      </c>
      <c r="M166" s="1">
        <v>2.248900581</v>
      </c>
      <c r="N166" s="1">
        <f t="shared" si="11"/>
        <v>2.0010562518373063</v>
      </c>
      <c r="O166" s="1">
        <f t="shared" si="12"/>
        <v>2.4967449101626933</v>
      </c>
      <c r="P166" s="1">
        <v>2.6182465189999999</v>
      </c>
      <c r="Q166" s="1">
        <f t="shared" si="13"/>
        <v>2.3296977242838</v>
      </c>
      <c r="R166">
        <f t="shared" si="8"/>
        <v>2.9067953137161999</v>
      </c>
    </row>
    <row r="167" spans="1:18" x14ac:dyDescent="0.4">
      <c r="A167" s="1" t="s">
        <v>3</v>
      </c>
      <c r="B167" s="1">
        <v>2042</v>
      </c>
      <c r="C167" s="1">
        <v>12.52054734</v>
      </c>
      <c r="D167" s="1">
        <v>1.172014691</v>
      </c>
      <c r="E167" s="1">
        <f t="shared" si="10"/>
        <v>11.348532649000001</v>
      </c>
      <c r="F167" s="10">
        <v>436000000</v>
      </c>
      <c r="G167" s="1">
        <v>10.19620551</v>
      </c>
      <c r="H167" s="1">
        <v>12.87603983</v>
      </c>
      <c r="I167" s="1">
        <v>11.536122669999999</v>
      </c>
      <c r="J167" s="1">
        <v>69</v>
      </c>
      <c r="K167" s="1">
        <v>257</v>
      </c>
      <c r="L167" s="1">
        <v>290</v>
      </c>
      <c r="M167" s="1">
        <v>2.2515560049999999</v>
      </c>
      <c r="N167" s="1">
        <f t="shared" si="11"/>
        <v>1.9900384558111317</v>
      </c>
      <c r="O167" s="1">
        <f t="shared" si="12"/>
        <v>2.5130735541888685</v>
      </c>
      <c r="P167" s="1">
        <v>2.6170477249999999</v>
      </c>
      <c r="Q167" s="1">
        <f t="shared" si="13"/>
        <v>2.3130784230450598</v>
      </c>
      <c r="R167">
        <f t="shared" si="8"/>
        <v>2.92101702695494</v>
      </c>
    </row>
    <row r="168" spans="1:18" x14ac:dyDescent="0.4">
      <c r="A168" s="1" t="s">
        <v>3</v>
      </c>
      <c r="B168" s="1">
        <v>2043</v>
      </c>
      <c r="C168" s="1">
        <v>12.4476282</v>
      </c>
      <c r="D168" s="1">
        <v>1.077321822</v>
      </c>
      <c r="E168" s="1">
        <f t="shared" si="10"/>
        <v>11.370306378</v>
      </c>
      <c r="F168" s="10">
        <v>436000000</v>
      </c>
      <c r="G168" s="1">
        <v>10.044428269999999</v>
      </c>
      <c r="H168" s="1">
        <v>12.856222499999999</v>
      </c>
      <c r="I168" s="1">
        <v>11.450325380000001</v>
      </c>
      <c r="J168" s="1">
        <v>69</v>
      </c>
      <c r="K168" s="1">
        <v>257</v>
      </c>
      <c r="L168" s="1">
        <v>291</v>
      </c>
      <c r="M168" s="1">
        <v>2.2530557099999999</v>
      </c>
      <c r="N168" s="1">
        <f t="shared" si="11"/>
        <v>1.9764203825104678</v>
      </c>
      <c r="O168" s="1">
        <f t="shared" si="12"/>
        <v>2.5296910394572096</v>
      </c>
      <c r="P168" s="1">
        <v>2.617446723</v>
      </c>
      <c r="Q168" s="1">
        <f t="shared" si="13"/>
        <v>2.2960706344329278</v>
      </c>
      <c r="R168">
        <f t="shared" ref="R168:R225" si="14">H168*P168/I168</f>
        <v>2.9388228138529864</v>
      </c>
    </row>
    <row r="169" spans="1:18" x14ac:dyDescent="0.4">
      <c r="A169" s="1" t="s">
        <v>3</v>
      </c>
      <c r="B169" s="1">
        <v>2044</v>
      </c>
      <c r="C169" s="1">
        <v>12.415377919999999</v>
      </c>
      <c r="D169" s="1">
        <v>1.037622641</v>
      </c>
      <c r="E169" s="1">
        <f t="shared" si="10"/>
        <v>11.377755278999999</v>
      </c>
      <c r="F169" s="10">
        <v>436000000</v>
      </c>
      <c r="G169" s="1">
        <v>10.243400490000001</v>
      </c>
      <c r="H169" s="1">
        <v>12.668239099999999</v>
      </c>
      <c r="I169" s="1">
        <v>11.45581979</v>
      </c>
      <c r="J169" s="1">
        <v>69</v>
      </c>
      <c r="K169" s="1">
        <v>257</v>
      </c>
      <c r="L169" s="1">
        <v>292</v>
      </c>
      <c r="M169" s="1">
        <v>2.253130616</v>
      </c>
      <c r="N169" s="1">
        <f t="shared" si="11"/>
        <v>2.0146719902241412</v>
      </c>
      <c r="O169" s="1">
        <f t="shared" si="12"/>
        <v>2.4915892437426588</v>
      </c>
      <c r="P169" s="1">
        <v>2.6166616980000001</v>
      </c>
      <c r="Q169" s="1">
        <f t="shared" si="13"/>
        <v>2.3397289945896955</v>
      </c>
      <c r="R169">
        <f t="shared" si="14"/>
        <v>2.8935944036944381</v>
      </c>
    </row>
    <row r="170" spans="1:18" x14ac:dyDescent="0.4">
      <c r="A170" s="1" t="s">
        <v>3</v>
      </c>
      <c r="B170" s="1">
        <v>2045</v>
      </c>
      <c r="C170" s="1">
        <v>12.349481040000001</v>
      </c>
      <c r="D170" s="1">
        <v>0.99426087900000004</v>
      </c>
      <c r="E170" s="1">
        <f t="shared" si="10"/>
        <v>11.355220161</v>
      </c>
      <c r="F170" s="10">
        <v>436000000</v>
      </c>
      <c r="G170" s="1">
        <v>10.220162439999999</v>
      </c>
      <c r="H170" s="1">
        <v>12.59914803</v>
      </c>
      <c r="I170" s="1">
        <v>11.409655239999999</v>
      </c>
      <c r="J170" s="1">
        <v>69</v>
      </c>
      <c r="K170" s="1">
        <v>257</v>
      </c>
      <c r="L170" s="1">
        <v>293</v>
      </c>
      <c r="M170" s="1">
        <v>2.2508938700000001</v>
      </c>
      <c r="N170" s="1">
        <f t="shared" si="11"/>
        <v>2.016231034391907</v>
      </c>
      <c r="O170" s="1">
        <f t="shared" si="12"/>
        <v>2.4855567036352957</v>
      </c>
      <c r="P170" s="1">
        <v>2.6150164990000002</v>
      </c>
      <c r="Q170" s="1">
        <f t="shared" si="13"/>
        <v>2.342392722732269</v>
      </c>
      <c r="R170">
        <f t="shared" si="14"/>
        <v>2.8876402729757986</v>
      </c>
    </row>
    <row r="171" spans="1:18" x14ac:dyDescent="0.4">
      <c r="A171" s="1" t="s">
        <v>3</v>
      </c>
      <c r="B171" s="1">
        <v>2046</v>
      </c>
      <c r="C171" s="1">
        <v>12.30512175</v>
      </c>
      <c r="D171" s="1">
        <v>0.94926118000000004</v>
      </c>
      <c r="E171" s="1">
        <f t="shared" si="10"/>
        <v>11.355860569999999</v>
      </c>
      <c r="F171" s="10">
        <v>436000000</v>
      </c>
      <c r="G171" s="1">
        <v>10.35021208</v>
      </c>
      <c r="H171" s="1">
        <v>12.689253369999999</v>
      </c>
      <c r="I171" s="1">
        <v>11.519732729999999</v>
      </c>
      <c r="J171" s="1">
        <v>69</v>
      </c>
      <c r="K171" s="1">
        <v>257</v>
      </c>
      <c r="L171" s="1">
        <v>294</v>
      </c>
      <c r="M171" s="1">
        <v>2.2496372789999999</v>
      </c>
      <c r="N171" s="1">
        <f t="shared" si="11"/>
        <v>2.0212468020275094</v>
      </c>
      <c r="O171" s="1">
        <f t="shared" si="12"/>
        <v>2.4780277540196352</v>
      </c>
      <c r="P171" s="1">
        <v>2.61303368</v>
      </c>
      <c r="Q171" s="1">
        <f t="shared" si="13"/>
        <v>2.3477500211224829</v>
      </c>
      <c r="R171">
        <f t="shared" si="14"/>
        <v>2.8783173366092063</v>
      </c>
    </row>
    <row r="172" spans="1:18" x14ac:dyDescent="0.4">
      <c r="A172" s="1" t="s">
        <v>3</v>
      </c>
      <c r="B172" s="1">
        <v>2047</v>
      </c>
      <c r="C172" s="1">
        <v>12.216849079999999</v>
      </c>
      <c r="D172" s="1">
        <v>0.864983956</v>
      </c>
      <c r="E172" s="1">
        <f t="shared" si="10"/>
        <v>11.351865124</v>
      </c>
      <c r="F172" s="10">
        <v>436000000</v>
      </c>
      <c r="G172" s="1">
        <v>10.396626319999999</v>
      </c>
      <c r="H172" s="1">
        <v>12.58921761</v>
      </c>
      <c r="I172" s="1">
        <v>11.492921969999999</v>
      </c>
      <c r="J172" s="1">
        <v>69</v>
      </c>
      <c r="K172" s="1">
        <v>257</v>
      </c>
      <c r="L172" s="1">
        <v>294</v>
      </c>
      <c r="M172" s="1">
        <v>2.2481118680000001</v>
      </c>
      <c r="N172" s="1">
        <f t="shared" si="11"/>
        <v>2.0336672499964048</v>
      </c>
      <c r="O172" s="1">
        <f t="shared" si="12"/>
        <v>2.4625564840475116</v>
      </c>
      <c r="P172" s="1">
        <v>2.6110252580000002</v>
      </c>
      <c r="Q172" s="1">
        <f t="shared" si="13"/>
        <v>2.3619627793842572</v>
      </c>
      <c r="R172">
        <f t="shared" si="14"/>
        <v>2.8600877343438884</v>
      </c>
    </row>
    <row r="173" spans="1:18" x14ac:dyDescent="0.4">
      <c r="A173" s="1" t="s">
        <v>3</v>
      </c>
      <c r="B173" s="1">
        <v>2048</v>
      </c>
      <c r="C173" s="1">
        <v>12.16550494</v>
      </c>
      <c r="D173" s="1">
        <v>0.78885908500000002</v>
      </c>
      <c r="E173" s="1">
        <f t="shared" si="10"/>
        <v>11.376645855</v>
      </c>
      <c r="F173" s="10">
        <v>436000000</v>
      </c>
      <c r="G173" s="1">
        <v>10.173147119999999</v>
      </c>
      <c r="H173" s="1">
        <v>12.583440100000001</v>
      </c>
      <c r="I173" s="1">
        <v>11.37829361</v>
      </c>
      <c r="J173" s="1">
        <v>69</v>
      </c>
      <c r="K173" s="1">
        <v>257</v>
      </c>
      <c r="L173" s="1">
        <v>295</v>
      </c>
      <c r="M173" s="1">
        <v>2.2490685369999999</v>
      </c>
      <c r="N173" s="1">
        <f t="shared" si="11"/>
        <v>2.0108555723817503</v>
      </c>
      <c r="O173" s="1">
        <f t="shared" si="12"/>
        <v>2.4872815016182495</v>
      </c>
      <c r="P173" s="1">
        <v>2.6105687149999999</v>
      </c>
      <c r="Q173" s="1">
        <f t="shared" si="13"/>
        <v>2.3340669976404613</v>
      </c>
      <c r="R173">
        <f t="shared" si="14"/>
        <v>2.8870704323595384</v>
      </c>
    </row>
    <row r="174" spans="1:18" x14ac:dyDescent="0.4">
      <c r="A174" s="1" t="s">
        <v>3</v>
      </c>
      <c r="B174" s="1">
        <v>2049</v>
      </c>
      <c r="C174" s="1">
        <v>12.125240679999999</v>
      </c>
      <c r="D174" s="1">
        <v>0.74972716699999997</v>
      </c>
      <c r="E174" s="1">
        <f t="shared" si="10"/>
        <v>11.375513513</v>
      </c>
      <c r="F174" s="10">
        <v>436000000</v>
      </c>
      <c r="G174" s="1">
        <v>10.43861817</v>
      </c>
      <c r="H174" s="1">
        <v>12.43178209</v>
      </c>
      <c r="I174" s="1">
        <v>11.43520013</v>
      </c>
      <c r="J174" s="1">
        <v>69</v>
      </c>
      <c r="K174" s="1">
        <v>257</v>
      </c>
      <c r="L174" s="1">
        <v>296</v>
      </c>
      <c r="M174" s="1">
        <v>2.2482943870000001</v>
      </c>
      <c r="N174" s="1">
        <f t="shared" si="11"/>
        <v>2.052354691902293</v>
      </c>
      <c r="O174" s="1">
        <f t="shared" si="12"/>
        <v>2.4442340820977071</v>
      </c>
      <c r="P174" s="1">
        <v>2.6093054480000002</v>
      </c>
      <c r="Q174" s="1">
        <f t="shared" si="13"/>
        <v>2.3819035041735463</v>
      </c>
      <c r="R174">
        <f t="shared" si="14"/>
        <v>2.8367073918264545</v>
      </c>
    </row>
    <row r="175" spans="1:18" x14ac:dyDescent="0.4">
      <c r="A175" s="1" t="s">
        <v>3</v>
      </c>
      <c r="B175" s="1">
        <v>2050</v>
      </c>
      <c r="C175" s="1">
        <v>12.120358810000001</v>
      </c>
      <c r="D175" s="1">
        <v>0.71048334599999996</v>
      </c>
      <c r="E175" s="1">
        <f t="shared" si="10"/>
        <v>11.409875464000001</v>
      </c>
      <c r="F175" s="10">
        <v>436000000</v>
      </c>
      <c r="G175" s="1">
        <v>10.660125620000001</v>
      </c>
      <c r="H175" s="1">
        <v>12.74237933</v>
      </c>
      <c r="I175" s="1">
        <v>11.70125247</v>
      </c>
      <c r="J175" s="1">
        <v>69</v>
      </c>
      <c r="K175" s="1">
        <v>257</v>
      </c>
      <c r="L175" s="1">
        <v>297</v>
      </c>
      <c r="M175" s="1">
        <v>2.249451852</v>
      </c>
      <c r="N175" s="1">
        <f t="shared" si="11"/>
        <v>2.0493053525629676</v>
      </c>
      <c r="O175" s="1">
        <f t="shared" si="12"/>
        <v>2.4495983533594345</v>
      </c>
      <c r="P175" s="1">
        <v>2.6080938929999999</v>
      </c>
      <c r="Q175" s="1">
        <f t="shared" si="13"/>
        <v>2.3760369754789883</v>
      </c>
      <c r="R175">
        <f t="shared" si="14"/>
        <v>2.8401508127499135</v>
      </c>
    </row>
    <row r="176" spans="1:18" x14ac:dyDescent="0.4">
      <c r="A176" s="1" t="s">
        <v>3</v>
      </c>
      <c r="B176" s="1">
        <v>2051</v>
      </c>
      <c r="C176" s="1">
        <v>12.02946601</v>
      </c>
      <c r="D176" s="1">
        <v>0.64854047400000003</v>
      </c>
      <c r="E176" s="1">
        <f t="shared" si="10"/>
        <v>11.380925535999999</v>
      </c>
      <c r="F176" s="10">
        <v>436000000</v>
      </c>
      <c r="G176" s="1">
        <v>10.11592488</v>
      </c>
      <c r="H176" s="1">
        <v>12.5666349</v>
      </c>
      <c r="I176" s="1">
        <v>11.341279889999999</v>
      </c>
      <c r="J176" s="1">
        <v>69</v>
      </c>
      <c r="K176" s="1">
        <v>257</v>
      </c>
      <c r="L176" s="1">
        <v>297</v>
      </c>
      <c r="M176" s="1">
        <v>2.2468321100000002</v>
      </c>
      <c r="N176" s="1">
        <f t="shared" si="11"/>
        <v>2.0040758241733068</v>
      </c>
      <c r="O176" s="1">
        <f t="shared" si="12"/>
        <v>2.489588395826694</v>
      </c>
      <c r="P176" s="1">
        <v>2.606379494</v>
      </c>
      <c r="Q176" s="1">
        <f t="shared" si="13"/>
        <v>2.3247763414536813</v>
      </c>
      <c r="R176">
        <f t="shared" si="14"/>
        <v>2.8879826465463188</v>
      </c>
    </row>
    <row r="177" spans="1:18" x14ac:dyDescent="0.4">
      <c r="A177" s="1" t="s">
        <v>3</v>
      </c>
      <c r="B177" s="1">
        <v>2052</v>
      </c>
      <c r="C177" s="1">
        <v>11.95115622</v>
      </c>
      <c r="D177" s="1">
        <v>0.58807646999999996</v>
      </c>
      <c r="E177" s="1">
        <f t="shared" si="10"/>
        <v>11.363079749999999</v>
      </c>
      <c r="F177" s="10">
        <v>436000000</v>
      </c>
      <c r="G177" s="1">
        <v>10.447194639999999</v>
      </c>
      <c r="H177" s="1">
        <v>12.69271957</v>
      </c>
      <c r="I177" s="1">
        <v>11.569957110000001</v>
      </c>
      <c r="J177" s="1">
        <v>69</v>
      </c>
      <c r="K177" s="1">
        <v>257</v>
      </c>
      <c r="L177" s="1">
        <v>298</v>
      </c>
      <c r="M177" s="1">
        <v>2.2450355289999999</v>
      </c>
      <c r="N177" s="1">
        <f t="shared" si="11"/>
        <v>2.0271745972944544</v>
      </c>
      <c r="O177" s="1">
        <f t="shared" si="12"/>
        <v>2.4628964587651438</v>
      </c>
      <c r="P177" s="1">
        <v>2.6053264700000001</v>
      </c>
      <c r="Q177" s="1">
        <f t="shared" si="13"/>
        <v>2.3525024746469541</v>
      </c>
      <c r="R177">
        <f t="shared" si="14"/>
        <v>2.8581504631012424</v>
      </c>
    </row>
    <row r="178" spans="1:18" x14ac:dyDescent="0.4">
      <c r="A178" s="1" t="s">
        <v>3</v>
      </c>
      <c r="B178" s="1">
        <v>2053</v>
      </c>
      <c r="C178" s="1">
        <v>11.851397990000001</v>
      </c>
      <c r="D178" s="1">
        <v>0.51672374499999996</v>
      </c>
      <c r="E178" s="1">
        <f t="shared" si="10"/>
        <v>11.334674245</v>
      </c>
      <c r="F178" s="10">
        <v>436000000</v>
      </c>
      <c r="G178" s="1">
        <v>10.08026342</v>
      </c>
      <c r="H178" s="1">
        <v>12.7017059</v>
      </c>
      <c r="I178" s="1">
        <v>11.390984660000001</v>
      </c>
      <c r="J178" s="1">
        <v>69</v>
      </c>
      <c r="K178" s="1">
        <v>257</v>
      </c>
      <c r="L178" s="1">
        <v>299</v>
      </c>
      <c r="M178" s="1">
        <v>2.2420627099999999</v>
      </c>
      <c r="N178" s="1">
        <f t="shared" si="11"/>
        <v>1.984076302053335</v>
      </c>
      <c r="O178" s="1">
        <f t="shared" si="12"/>
        <v>2.5000491179466646</v>
      </c>
      <c r="P178" s="1">
        <v>2.6031169470000002</v>
      </c>
      <c r="Q178" s="1">
        <f t="shared" si="13"/>
        <v>2.3035852757285848</v>
      </c>
      <c r="R178">
        <f t="shared" si="14"/>
        <v>2.9026486182714155</v>
      </c>
    </row>
    <row r="179" spans="1:18" x14ac:dyDescent="0.4">
      <c r="A179" s="1" t="s">
        <v>3</v>
      </c>
      <c r="B179" s="1">
        <v>2054</v>
      </c>
      <c r="C179" s="1">
        <v>11.761098580000001</v>
      </c>
      <c r="D179" s="1">
        <v>0.54947670500000001</v>
      </c>
      <c r="E179" s="1">
        <f t="shared" si="10"/>
        <v>11.211621875000001</v>
      </c>
      <c r="F179" s="10">
        <v>436000000</v>
      </c>
      <c r="G179" s="1">
        <v>9.8722012289999999</v>
      </c>
      <c r="H179" s="1">
        <v>12.37918891</v>
      </c>
      <c r="I179" s="1">
        <v>11.125695070000001</v>
      </c>
      <c r="J179" s="1">
        <v>69</v>
      </c>
      <c r="K179" s="1">
        <v>257</v>
      </c>
      <c r="L179" s="1">
        <v>300</v>
      </c>
      <c r="M179" s="1">
        <v>2.2328668860000001</v>
      </c>
      <c r="N179" s="1">
        <f t="shared" si="11"/>
        <v>1.981297445011011</v>
      </c>
      <c r="O179" s="1">
        <f t="shared" si="12"/>
        <v>2.4844363267882938</v>
      </c>
      <c r="P179" s="1">
        <v>2.5993008080000002</v>
      </c>
      <c r="Q179" s="1">
        <f t="shared" si="13"/>
        <v>2.3064465159099758</v>
      </c>
      <c r="R179">
        <f t="shared" si="14"/>
        <v>2.8921550998563941</v>
      </c>
    </row>
    <row r="180" spans="1:18" x14ac:dyDescent="0.4">
      <c r="A180" s="1" t="s">
        <v>3</v>
      </c>
      <c r="B180" s="1">
        <v>2055</v>
      </c>
      <c r="C180" s="1">
        <v>11.75919371</v>
      </c>
      <c r="D180" s="1">
        <v>0.46988362700000003</v>
      </c>
      <c r="E180" s="1">
        <f t="shared" si="10"/>
        <v>11.289310083</v>
      </c>
      <c r="F180" s="10">
        <v>436000000</v>
      </c>
      <c r="G180" s="1">
        <v>10.341029280000001</v>
      </c>
      <c r="H180" s="1">
        <v>12.64024981</v>
      </c>
      <c r="I180" s="1">
        <v>11.490639549999999</v>
      </c>
      <c r="J180" s="1">
        <v>69</v>
      </c>
      <c r="K180" s="1">
        <v>257</v>
      </c>
      <c r="L180" s="1">
        <v>300</v>
      </c>
      <c r="M180" s="1">
        <v>2.2350204109999998</v>
      </c>
      <c r="N180" s="1">
        <f t="shared" si="11"/>
        <v>2.0114121073050835</v>
      </c>
      <c r="O180" s="1">
        <f t="shared" si="12"/>
        <v>2.4586287127498374</v>
      </c>
      <c r="P180" s="1">
        <v>2.59653833</v>
      </c>
      <c r="Q180" s="1">
        <f t="shared" si="13"/>
        <v>2.3367610462702491</v>
      </c>
      <c r="R180">
        <f t="shared" si="14"/>
        <v>2.8563156114700528</v>
      </c>
    </row>
    <row r="181" spans="1:18" x14ac:dyDescent="0.4">
      <c r="A181" s="1" t="s">
        <v>3</v>
      </c>
      <c r="B181" s="1">
        <v>2056</v>
      </c>
      <c r="C181" s="1">
        <v>11.682907119999999</v>
      </c>
      <c r="D181" s="1">
        <v>0.43605561100000001</v>
      </c>
      <c r="E181" s="1">
        <f t="shared" si="10"/>
        <v>11.246851508999999</v>
      </c>
      <c r="F181" s="10">
        <v>436000000</v>
      </c>
      <c r="G181" s="1">
        <v>10.123069320000001</v>
      </c>
      <c r="H181" s="1">
        <v>12.437924669999999</v>
      </c>
      <c r="I181" s="1">
        <v>11.28049699</v>
      </c>
      <c r="J181" s="1">
        <v>69</v>
      </c>
      <c r="K181" s="1">
        <v>257</v>
      </c>
      <c r="L181" s="1">
        <v>301</v>
      </c>
      <c r="M181" s="1">
        <v>2.232010125</v>
      </c>
      <c r="N181" s="1">
        <f t="shared" si="11"/>
        <v>2.002996254362448</v>
      </c>
      <c r="O181" s="1">
        <f t="shared" si="12"/>
        <v>2.4610239976161976</v>
      </c>
      <c r="P181" s="1">
        <v>2.595534609</v>
      </c>
      <c r="Q181" s="1">
        <f t="shared" si="13"/>
        <v>2.3292215575837054</v>
      </c>
      <c r="R181">
        <f t="shared" si="14"/>
        <v>2.8618476627171989</v>
      </c>
    </row>
    <row r="182" spans="1:18" x14ac:dyDescent="0.4">
      <c r="A182" s="1" t="s">
        <v>3</v>
      </c>
      <c r="B182" s="1">
        <v>2057</v>
      </c>
      <c r="C182" s="1">
        <v>11.635602649999999</v>
      </c>
      <c r="D182" s="1">
        <v>0.38856377800000003</v>
      </c>
      <c r="E182" s="1">
        <f t="shared" si="10"/>
        <v>11.247038871999999</v>
      </c>
      <c r="F182" s="10">
        <v>436000000</v>
      </c>
      <c r="G182" s="1">
        <v>10.25484911</v>
      </c>
      <c r="H182" s="1">
        <v>12.45056746</v>
      </c>
      <c r="I182" s="1">
        <v>11.35270828</v>
      </c>
      <c r="J182" s="1">
        <v>69</v>
      </c>
      <c r="K182" s="1">
        <v>257</v>
      </c>
      <c r="L182" s="1">
        <v>302</v>
      </c>
      <c r="M182" s="1">
        <v>2.2307265780000001</v>
      </c>
      <c r="N182" s="1">
        <f t="shared" si="11"/>
        <v>2.0150050453913932</v>
      </c>
      <c r="O182" s="1">
        <f t="shared" si="12"/>
        <v>2.446448112573536</v>
      </c>
      <c r="P182" s="1">
        <v>2.5935244260000001</v>
      </c>
      <c r="Q182" s="1">
        <f t="shared" si="13"/>
        <v>2.3427186708024319</v>
      </c>
      <c r="R182">
        <f t="shared" si="14"/>
        <v>2.8443301834820667</v>
      </c>
    </row>
    <row r="183" spans="1:18" x14ac:dyDescent="0.4">
      <c r="A183" s="1" t="s">
        <v>3</v>
      </c>
      <c r="B183" s="1">
        <v>2058</v>
      </c>
      <c r="C183" s="1">
        <v>11.564893659999999</v>
      </c>
      <c r="D183" s="1">
        <v>0.32186523299999997</v>
      </c>
      <c r="E183" s="1">
        <f t="shared" si="10"/>
        <v>11.243028426999999</v>
      </c>
      <c r="F183" s="10">
        <v>436000000</v>
      </c>
      <c r="G183" s="1">
        <v>10.38067961</v>
      </c>
      <c r="H183" s="1">
        <v>12.57271633</v>
      </c>
      <c r="I183" s="1">
        <v>11.47669797</v>
      </c>
      <c r="J183" s="1">
        <v>69</v>
      </c>
      <c r="K183" s="1">
        <v>257</v>
      </c>
      <c r="L183" s="1">
        <v>303</v>
      </c>
      <c r="M183" s="1">
        <v>2.229223057</v>
      </c>
      <c r="N183" s="1">
        <f t="shared" si="11"/>
        <v>2.0163334780118611</v>
      </c>
      <c r="O183" s="1">
        <f t="shared" si="12"/>
        <v>2.4421126359881389</v>
      </c>
      <c r="P183" s="1">
        <v>2.5915097359999999</v>
      </c>
      <c r="Q183" s="1">
        <f t="shared" si="13"/>
        <v>2.344021977918417</v>
      </c>
      <c r="R183">
        <f t="shared" si="14"/>
        <v>2.8389974940815828</v>
      </c>
    </row>
    <row r="184" spans="1:18" x14ac:dyDescent="0.4">
      <c r="A184" s="1" t="s">
        <v>3</v>
      </c>
      <c r="B184" s="1">
        <v>2059</v>
      </c>
      <c r="C184" s="1">
        <v>11.494459340000001</v>
      </c>
      <c r="D184" s="1">
        <v>0.30958164399999999</v>
      </c>
      <c r="E184" s="1">
        <f t="shared" si="10"/>
        <v>11.184877696000001</v>
      </c>
      <c r="F184" s="10">
        <v>436000000</v>
      </c>
      <c r="G184" s="1">
        <v>10.06649522</v>
      </c>
      <c r="H184" s="1">
        <v>12.57243549</v>
      </c>
      <c r="I184" s="1">
        <v>11.31946535</v>
      </c>
      <c r="J184" s="1">
        <v>69</v>
      </c>
      <c r="K184" s="1">
        <v>257</v>
      </c>
      <c r="L184" s="1">
        <v>303</v>
      </c>
      <c r="M184" s="1">
        <v>2.224386339</v>
      </c>
      <c r="N184" s="1">
        <f t="shared" si="11"/>
        <v>1.9781653776586543</v>
      </c>
      <c r="O184" s="1">
        <f t="shared" si="12"/>
        <v>2.4706073023064445</v>
      </c>
      <c r="P184" s="1">
        <v>2.5887925169999999</v>
      </c>
      <c r="Q184" s="1">
        <f t="shared" si="13"/>
        <v>2.3022348399124937</v>
      </c>
      <c r="R184">
        <f t="shared" si="14"/>
        <v>2.8753501963745336</v>
      </c>
    </row>
    <row r="185" spans="1:18" x14ac:dyDescent="0.4">
      <c r="A185" s="1" t="s">
        <v>3</v>
      </c>
      <c r="B185" s="1">
        <v>2060</v>
      </c>
      <c r="C185" s="1">
        <v>11.417146000000001</v>
      </c>
      <c r="D185" s="1">
        <v>0.29689743299999999</v>
      </c>
      <c r="E185" s="1">
        <f t="shared" si="10"/>
        <v>11.120248567000001</v>
      </c>
      <c r="F185" s="10">
        <v>436000000</v>
      </c>
      <c r="G185" s="1">
        <v>9.9967054760000007</v>
      </c>
      <c r="H185" s="1">
        <v>12.67955237</v>
      </c>
      <c r="I185" s="1">
        <v>11.33812893</v>
      </c>
      <c r="J185" s="1">
        <v>69</v>
      </c>
      <c r="K185" s="1">
        <v>257</v>
      </c>
      <c r="L185" s="1">
        <v>304</v>
      </c>
      <c r="M185" s="1">
        <v>2.2192864010000002</v>
      </c>
      <c r="N185" s="1">
        <f t="shared" si="11"/>
        <v>1.9567207830021593</v>
      </c>
      <c r="O185" s="1">
        <f t="shared" si="12"/>
        <v>2.481852016257529</v>
      </c>
      <c r="P185" s="1">
        <v>2.5865202479999998</v>
      </c>
      <c r="Q185" s="1">
        <f t="shared" si="13"/>
        <v>2.2805068884471114</v>
      </c>
      <c r="R185">
        <f t="shared" si="14"/>
        <v>2.8925336043591265</v>
      </c>
    </row>
    <row r="186" spans="1:18" x14ac:dyDescent="0.4">
      <c r="A186" s="1" t="s">
        <v>3</v>
      </c>
      <c r="B186" s="1">
        <v>2061</v>
      </c>
      <c r="C186" s="1">
        <v>11.386013999999999</v>
      </c>
      <c r="D186" s="1">
        <v>0.27756779599999998</v>
      </c>
      <c r="E186" s="1">
        <f t="shared" si="10"/>
        <v>11.108446204</v>
      </c>
      <c r="F186" s="10">
        <v>436000000</v>
      </c>
      <c r="G186" s="1">
        <v>9.9209863889999994</v>
      </c>
      <c r="H186" s="1">
        <v>12.70973787</v>
      </c>
      <c r="I186" s="1">
        <v>11.31536213</v>
      </c>
      <c r="J186" s="1">
        <v>69</v>
      </c>
      <c r="K186" s="1">
        <v>257</v>
      </c>
      <c r="L186" s="1">
        <v>305</v>
      </c>
      <c r="M186" s="1">
        <v>2.216726537</v>
      </c>
      <c r="N186" s="1">
        <f t="shared" si="11"/>
        <v>1.9435625257989073</v>
      </c>
      <c r="O186" s="1">
        <f t="shared" si="12"/>
        <v>2.4898905480051883</v>
      </c>
      <c r="P186" s="1">
        <v>2.5836339609999999</v>
      </c>
      <c r="Q186" s="1">
        <f t="shared" si="13"/>
        <v>2.2652564775882391</v>
      </c>
      <c r="R186">
        <f t="shared" si="14"/>
        <v>2.9020114441834308</v>
      </c>
    </row>
    <row r="187" spans="1:18" x14ac:dyDescent="0.4">
      <c r="A187" s="1" t="s">
        <v>3</v>
      </c>
      <c r="B187" s="1">
        <v>2062</v>
      </c>
      <c r="C187" s="1">
        <v>11.313259110000001</v>
      </c>
      <c r="D187" s="1">
        <v>0.20999105000000001</v>
      </c>
      <c r="E187" s="1">
        <f t="shared" si="10"/>
        <v>11.103268060000001</v>
      </c>
      <c r="F187" s="10">
        <v>436000000</v>
      </c>
      <c r="G187" s="1">
        <v>10.03672763</v>
      </c>
      <c r="H187" s="1">
        <v>12.741546189999999</v>
      </c>
      <c r="I187" s="1">
        <v>11.38913691</v>
      </c>
      <c r="J187" s="1">
        <v>69</v>
      </c>
      <c r="K187" s="1">
        <v>257</v>
      </c>
      <c r="L187" s="1">
        <v>306</v>
      </c>
      <c r="M187" s="1">
        <v>2.2148090969999998</v>
      </c>
      <c r="N187" s="1">
        <f t="shared" si="11"/>
        <v>1.9518103816556234</v>
      </c>
      <c r="O187" s="1">
        <f t="shared" si="12"/>
        <v>2.4778078123443761</v>
      </c>
      <c r="P187" s="1">
        <v>2.5811315590000001</v>
      </c>
      <c r="Q187" s="1">
        <f t="shared" si="13"/>
        <v>2.2746336829206033</v>
      </c>
      <c r="R187">
        <f t="shared" si="14"/>
        <v>2.8876294350793974</v>
      </c>
    </row>
    <row r="188" spans="1:18" x14ac:dyDescent="0.4">
      <c r="A188" s="1" t="s">
        <v>3</v>
      </c>
      <c r="B188" s="1">
        <v>2063</v>
      </c>
      <c r="C188" s="1">
        <v>11.260354449999999</v>
      </c>
      <c r="D188" s="1">
        <v>0.21332785800000001</v>
      </c>
      <c r="E188" s="1">
        <f t="shared" si="10"/>
        <v>11.047026592</v>
      </c>
      <c r="F188" s="10">
        <v>436000000</v>
      </c>
      <c r="G188" s="1">
        <v>9.9762954750000006</v>
      </c>
      <c r="H188" s="1">
        <v>12.730312639999999</v>
      </c>
      <c r="I188" s="1">
        <v>11.353304059999999</v>
      </c>
      <c r="J188" s="1">
        <v>69</v>
      </c>
      <c r="K188" s="1">
        <v>257</v>
      </c>
      <c r="L188" s="1">
        <v>306</v>
      </c>
      <c r="M188" s="1">
        <v>2.2100222340000002</v>
      </c>
      <c r="N188" s="1">
        <f t="shared" si="11"/>
        <v>1.9419751903221376</v>
      </c>
      <c r="O188" s="1">
        <f t="shared" si="12"/>
        <v>2.4780692767045682</v>
      </c>
      <c r="P188" s="1">
        <v>2.57823256</v>
      </c>
      <c r="Q188" s="1">
        <f t="shared" si="13"/>
        <v>2.2655263776865384</v>
      </c>
      <c r="R188">
        <f t="shared" si="14"/>
        <v>2.8909387411780076</v>
      </c>
    </row>
    <row r="189" spans="1:18" x14ac:dyDescent="0.4">
      <c r="A189" s="1" t="s">
        <v>3</v>
      </c>
      <c r="B189" s="1">
        <v>2064</v>
      </c>
      <c r="C189" s="1">
        <v>11.21234473</v>
      </c>
      <c r="D189" s="1">
        <v>0.233382112</v>
      </c>
      <c r="E189" s="1">
        <f t="shared" si="10"/>
        <v>10.978962618000001</v>
      </c>
      <c r="F189" s="10">
        <v>436000000</v>
      </c>
      <c r="G189" s="1">
        <v>9.8576945069999997</v>
      </c>
      <c r="H189" s="1">
        <v>12.8119149</v>
      </c>
      <c r="I189" s="1">
        <v>11.334804699999999</v>
      </c>
      <c r="J189" s="1">
        <v>69</v>
      </c>
      <c r="K189" s="1">
        <v>257</v>
      </c>
      <c r="L189" s="1">
        <v>307</v>
      </c>
      <c r="M189" s="1">
        <v>2.2047843939999998</v>
      </c>
      <c r="N189" s="1">
        <f t="shared" si="11"/>
        <v>1.9174649749239281</v>
      </c>
      <c r="O189" s="1">
        <f t="shared" si="12"/>
        <v>2.4921038144376735</v>
      </c>
      <c r="P189" s="1">
        <v>2.575881077</v>
      </c>
      <c r="Q189" s="1">
        <f t="shared" si="13"/>
        <v>2.2402016987048876</v>
      </c>
      <c r="R189">
        <f t="shared" si="14"/>
        <v>2.9115604568858915</v>
      </c>
    </row>
    <row r="190" spans="1:18" x14ac:dyDescent="0.4">
      <c r="A190" s="1" t="s">
        <v>3</v>
      </c>
      <c r="B190" s="1">
        <v>2065</v>
      </c>
      <c r="C190" s="1">
        <v>11.149697270000001</v>
      </c>
      <c r="D190" s="1">
        <v>0.22243868899999999</v>
      </c>
      <c r="E190" s="1">
        <f t="shared" si="10"/>
        <v>10.927258581</v>
      </c>
      <c r="F190" s="10">
        <v>436000000</v>
      </c>
      <c r="G190" s="1">
        <v>9.7217214330000008</v>
      </c>
      <c r="H190" s="1">
        <v>12.73414764</v>
      </c>
      <c r="I190" s="1">
        <v>11.22793454</v>
      </c>
      <c r="J190" s="1">
        <v>69</v>
      </c>
      <c r="K190" s="1">
        <v>257</v>
      </c>
      <c r="L190" s="1">
        <v>308</v>
      </c>
      <c r="M190" s="1">
        <v>2.199891665</v>
      </c>
      <c r="N190" s="1">
        <f t="shared" si="11"/>
        <v>1.9047790022036017</v>
      </c>
      <c r="O190" s="1">
        <f t="shared" si="12"/>
        <v>2.4950043264248869</v>
      </c>
      <c r="P190" s="1">
        <v>2.572471508</v>
      </c>
      <c r="Q190" s="1">
        <f t="shared" si="13"/>
        <v>2.2273777341692123</v>
      </c>
      <c r="R190">
        <f t="shared" si="14"/>
        <v>2.9175652802269938</v>
      </c>
    </row>
    <row r="191" spans="1:18" x14ac:dyDescent="0.4">
      <c r="A191" s="1" t="s">
        <v>3</v>
      </c>
      <c r="B191" s="1">
        <v>2066</v>
      </c>
      <c r="C191" s="1">
        <v>11.12362506</v>
      </c>
      <c r="D191" s="1">
        <v>0.161958677</v>
      </c>
      <c r="E191" s="1">
        <f t="shared" si="10"/>
        <v>10.961666383000001</v>
      </c>
      <c r="F191" s="10">
        <v>436000000</v>
      </c>
      <c r="G191" s="1">
        <v>10.02410283</v>
      </c>
      <c r="H191" s="1">
        <v>12.52167592</v>
      </c>
      <c r="I191" s="1">
        <v>11.272889380000001</v>
      </c>
      <c r="J191" s="1">
        <v>69</v>
      </c>
      <c r="K191" s="1">
        <v>257</v>
      </c>
      <c r="L191" s="1">
        <v>309</v>
      </c>
      <c r="M191" s="1">
        <v>2.1999352390000002</v>
      </c>
      <c r="N191" s="1">
        <f t="shared" si="11"/>
        <v>1.956231123335713</v>
      </c>
      <c r="O191" s="1">
        <f t="shared" si="12"/>
        <v>2.44363935271276</v>
      </c>
      <c r="P191" s="1">
        <v>2.5699266160000001</v>
      </c>
      <c r="Q191" s="1">
        <f t="shared" si="13"/>
        <v>2.2852356477517324</v>
      </c>
      <c r="R191">
        <f t="shared" si="14"/>
        <v>2.8546175819685264</v>
      </c>
    </row>
    <row r="192" spans="1:18" x14ac:dyDescent="0.4">
      <c r="A192" s="1" t="s">
        <v>3</v>
      </c>
      <c r="B192" s="1">
        <v>2067</v>
      </c>
      <c r="C192" s="1">
        <v>10.988896799999999</v>
      </c>
      <c r="D192" s="1">
        <v>0.16044979500000001</v>
      </c>
      <c r="E192" s="1">
        <f t="shared" si="10"/>
        <v>10.828447004999999</v>
      </c>
      <c r="F192" s="10">
        <v>436000000</v>
      </c>
      <c r="G192" s="1">
        <v>9.9378700210000002</v>
      </c>
      <c r="H192" s="1">
        <v>12.402552549999999</v>
      </c>
      <c r="I192" s="1">
        <v>11.17021128</v>
      </c>
      <c r="J192" s="1">
        <v>69</v>
      </c>
      <c r="K192" s="1">
        <v>257</v>
      </c>
      <c r="L192" s="1">
        <v>309</v>
      </c>
      <c r="M192" s="1">
        <v>2.191016195</v>
      </c>
      <c r="N192" s="1">
        <f t="shared" si="11"/>
        <v>1.9492947460001839</v>
      </c>
      <c r="O192" s="1">
        <f t="shared" si="12"/>
        <v>2.4327376461574457</v>
      </c>
      <c r="P192" s="1">
        <v>2.5664134349999999</v>
      </c>
      <c r="Q192" s="1">
        <f t="shared" si="13"/>
        <v>2.2832766988788888</v>
      </c>
      <c r="R192">
        <f t="shared" si="14"/>
        <v>2.8495501736484168</v>
      </c>
    </row>
    <row r="193" spans="1:18" x14ac:dyDescent="0.4">
      <c r="A193" s="1" t="s">
        <v>3</v>
      </c>
      <c r="B193" s="1">
        <v>2068</v>
      </c>
      <c r="C193" s="1">
        <v>10.94281739</v>
      </c>
      <c r="D193" s="1">
        <v>0.16315190800000001</v>
      </c>
      <c r="E193" s="1">
        <f t="shared" si="10"/>
        <v>10.779665482</v>
      </c>
      <c r="F193" s="10">
        <v>436000000</v>
      </c>
      <c r="G193" s="1">
        <v>9.2100208860000006</v>
      </c>
      <c r="H193" s="1">
        <v>12.374782270000001</v>
      </c>
      <c r="I193" s="1">
        <v>10.79240158</v>
      </c>
      <c r="J193" s="1">
        <v>69</v>
      </c>
      <c r="K193" s="1">
        <v>257</v>
      </c>
      <c r="L193" s="1">
        <v>310</v>
      </c>
      <c r="M193" s="1">
        <v>2.186404123</v>
      </c>
      <c r="N193" s="1">
        <f t="shared" si="11"/>
        <v>1.8658337987888802</v>
      </c>
      <c r="O193" s="1">
        <f t="shared" si="12"/>
        <v>2.5069744464007706</v>
      </c>
      <c r="P193" s="1">
        <v>2.5634896720000002</v>
      </c>
      <c r="Q193" s="1">
        <f t="shared" si="13"/>
        <v>2.1876311074189378</v>
      </c>
      <c r="R193">
        <f t="shared" si="14"/>
        <v>2.9393482356309537</v>
      </c>
    </row>
    <row r="194" spans="1:18" x14ac:dyDescent="0.4">
      <c r="A194" s="1" t="s">
        <v>3</v>
      </c>
      <c r="B194" s="1">
        <v>2069</v>
      </c>
      <c r="C194" s="1">
        <v>10.88698138</v>
      </c>
      <c r="D194" s="1">
        <v>0.15122254700000001</v>
      </c>
      <c r="E194" s="1">
        <f t="shared" si="10"/>
        <v>10.735758833</v>
      </c>
      <c r="F194" s="10">
        <v>436000000</v>
      </c>
      <c r="G194" s="1">
        <v>9.1676421660000003</v>
      </c>
      <c r="H194" s="1">
        <v>12.57014779</v>
      </c>
      <c r="I194" s="1">
        <v>10.86889498</v>
      </c>
      <c r="J194" s="1">
        <v>69</v>
      </c>
      <c r="K194" s="1">
        <v>257</v>
      </c>
      <c r="L194" s="1">
        <v>311</v>
      </c>
      <c r="M194" s="1">
        <v>2.1820153969999998</v>
      </c>
      <c r="N194" s="1">
        <f t="shared" si="11"/>
        <v>1.8404756322706162</v>
      </c>
      <c r="O194" s="1">
        <f t="shared" si="12"/>
        <v>2.5235551609263522</v>
      </c>
      <c r="P194" s="1">
        <v>2.5600845319999999</v>
      </c>
      <c r="Q194" s="1">
        <f t="shared" si="13"/>
        <v>2.1593675297511776</v>
      </c>
      <c r="R194">
        <f t="shared" si="14"/>
        <v>2.9608015333066526</v>
      </c>
    </row>
    <row r="195" spans="1:18" x14ac:dyDescent="0.4">
      <c r="A195" s="1" t="s">
        <v>3</v>
      </c>
      <c r="B195" s="1">
        <v>2070</v>
      </c>
      <c r="C195" s="1">
        <v>10.827622549999999</v>
      </c>
      <c r="D195" s="1">
        <v>0.14356764599999999</v>
      </c>
      <c r="E195" s="1">
        <f t="shared" ref="E195:E225" si="15">C195-D195</f>
        <v>10.684054904</v>
      </c>
      <c r="F195" s="10">
        <v>436000000</v>
      </c>
      <c r="G195" s="1">
        <v>9.0428610819999999</v>
      </c>
      <c r="H195" s="1">
        <v>12.410926699999999</v>
      </c>
      <c r="I195" s="1">
        <v>10.726893889999999</v>
      </c>
      <c r="J195" s="1">
        <v>69</v>
      </c>
      <c r="K195" s="1">
        <v>257</v>
      </c>
      <c r="L195" s="1">
        <v>312</v>
      </c>
      <c r="M195" s="1">
        <v>2.1772285990000002</v>
      </c>
      <c r="N195" s="1">
        <f t="shared" si="11"/>
        <v>1.8354218813396397</v>
      </c>
      <c r="O195" s="1">
        <f t="shared" si="12"/>
        <v>2.5190353170662987</v>
      </c>
      <c r="P195" s="1">
        <v>2.5566083590000002</v>
      </c>
      <c r="Q195" s="1">
        <f t="shared" si="13"/>
        <v>2.1552421855379227</v>
      </c>
      <c r="R195">
        <f t="shared" si="14"/>
        <v>2.9579745329387506</v>
      </c>
    </row>
    <row r="196" spans="1:18" x14ac:dyDescent="0.4">
      <c r="A196" s="1" t="s">
        <v>3</v>
      </c>
      <c r="B196" s="1">
        <v>2071</v>
      </c>
      <c r="C196" s="1">
        <v>10.753484200000001</v>
      </c>
      <c r="D196" s="1">
        <v>0.12974570799999999</v>
      </c>
      <c r="E196" s="1">
        <f t="shared" si="15"/>
        <v>10.623738492000001</v>
      </c>
      <c r="F196" s="10">
        <v>436000000</v>
      </c>
      <c r="G196" s="1">
        <v>8.8622252820000007</v>
      </c>
      <c r="H196" s="1">
        <v>12.55264442</v>
      </c>
      <c r="I196" s="1">
        <v>10.70743485</v>
      </c>
      <c r="J196" s="1">
        <v>69</v>
      </c>
      <c r="K196" s="1">
        <v>257</v>
      </c>
      <c r="L196" s="1">
        <v>312</v>
      </c>
      <c r="M196" s="1">
        <v>2.1719340499999999</v>
      </c>
      <c r="N196" s="1">
        <f t="shared" si="11"/>
        <v>1.797645198723451</v>
      </c>
      <c r="O196" s="1">
        <f t="shared" si="12"/>
        <v>2.5462229016822362</v>
      </c>
      <c r="P196" s="1">
        <v>2.5529541490000001</v>
      </c>
      <c r="Q196" s="1">
        <f t="shared" si="13"/>
        <v>2.1130041994189295</v>
      </c>
      <c r="R196">
        <f t="shared" si="14"/>
        <v>2.9929040990579265</v>
      </c>
    </row>
    <row r="197" spans="1:18" x14ac:dyDescent="0.4">
      <c r="A197" s="1" t="s">
        <v>3</v>
      </c>
      <c r="B197" s="1">
        <v>2072</v>
      </c>
      <c r="C197" s="1">
        <v>10.648446229999999</v>
      </c>
      <c r="D197" s="1">
        <v>0.11318619100000001</v>
      </c>
      <c r="E197" s="1">
        <f t="shared" si="15"/>
        <v>10.535260038999999</v>
      </c>
      <c r="F197" s="10">
        <v>436000000</v>
      </c>
      <c r="G197" s="1">
        <v>8.6179362939999997</v>
      </c>
      <c r="H197" s="1">
        <v>12.397096360000001</v>
      </c>
      <c r="I197" s="1">
        <v>10.50751633</v>
      </c>
      <c r="J197" s="1">
        <v>69</v>
      </c>
      <c r="K197" s="1">
        <v>257</v>
      </c>
      <c r="L197" s="1">
        <v>313</v>
      </c>
      <c r="M197" s="1">
        <v>2.1656117620000002</v>
      </c>
      <c r="N197" s="1">
        <f t="shared" si="11"/>
        <v>1.7761670423645293</v>
      </c>
      <c r="O197" s="1">
        <f t="shared" si="12"/>
        <v>2.5550564803988642</v>
      </c>
      <c r="P197" s="1">
        <v>2.550084628</v>
      </c>
      <c r="Q197" s="1">
        <f t="shared" si="13"/>
        <v>2.0914996634997083</v>
      </c>
      <c r="R197">
        <f t="shared" si="14"/>
        <v>3.0086695910441432</v>
      </c>
    </row>
    <row r="198" spans="1:18" x14ac:dyDescent="0.4">
      <c r="A198" s="1" t="s">
        <v>3</v>
      </c>
      <c r="B198" s="1">
        <v>2073</v>
      </c>
      <c r="C198" s="1">
        <v>10.5876497</v>
      </c>
      <c r="D198" s="1">
        <v>0.10985252700000001</v>
      </c>
      <c r="E198" s="1">
        <f t="shared" si="15"/>
        <v>10.477797173000001</v>
      </c>
      <c r="F198" s="10">
        <v>436000000</v>
      </c>
      <c r="G198" s="1">
        <v>8.4498472299999996</v>
      </c>
      <c r="H198" s="1">
        <v>12.261192080000001</v>
      </c>
      <c r="I198" s="1">
        <v>10.355519660000001</v>
      </c>
      <c r="J198" s="1">
        <v>69</v>
      </c>
      <c r="K198" s="1">
        <v>257</v>
      </c>
      <c r="L198" s="1">
        <v>314</v>
      </c>
      <c r="M198" s="1">
        <v>2.1604368049999998</v>
      </c>
      <c r="N198" s="1">
        <f t="shared" si="11"/>
        <v>1.7628628549500813</v>
      </c>
      <c r="O198" s="1">
        <f t="shared" si="12"/>
        <v>2.5580107529636522</v>
      </c>
      <c r="P198" s="1">
        <v>2.5462908999999998</v>
      </c>
      <c r="Q198" s="1">
        <f t="shared" si="13"/>
        <v>2.0777102274497734</v>
      </c>
      <c r="R198">
        <f t="shared" si="14"/>
        <v>3.0148715700913526</v>
      </c>
    </row>
    <row r="199" spans="1:18" x14ac:dyDescent="0.4">
      <c r="A199" s="1" t="s">
        <v>3</v>
      </c>
      <c r="B199" s="1">
        <v>2074</v>
      </c>
      <c r="C199" s="1">
        <v>10.478302279999999</v>
      </c>
      <c r="D199" s="1">
        <v>9.5988700999999996E-2</v>
      </c>
      <c r="E199" s="1">
        <f t="shared" si="15"/>
        <v>10.382313579</v>
      </c>
      <c r="F199" s="10">
        <v>436000000</v>
      </c>
      <c r="G199" s="1">
        <v>8.4940923129999995</v>
      </c>
      <c r="H199" s="1">
        <v>12.14639274</v>
      </c>
      <c r="I199" s="1">
        <v>10.32024253</v>
      </c>
      <c r="J199" s="1">
        <v>69</v>
      </c>
      <c r="K199" s="1">
        <v>257</v>
      </c>
      <c r="L199" s="1">
        <v>315</v>
      </c>
      <c r="M199" s="1">
        <v>2.153254869</v>
      </c>
      <c r="N199" s="1">
        <f t="shared" si="11"/>
        <v>1.772239904007636</v>
      </c>
      <c r="O199" s="1">
        <f t="shared" si="12"/>
        <v>2.5342698325318573</v>
      </c>
      <c r="P199" s="1">
        <v>2.5420961530000001</v>
      </c>
      <c r="Q199" s="1">
        <f t="shared" si="13"/>
        <v>2.0922763519690437</v>
      </c>
      <c r="R199">
        <f t="shared" si="14"/>
        <v>2.9919159523067074</v>
      </c>
    </row>
    <row r="200" spans="1:18" x14ac:dyDescent="0.4">
      <c r="A200" s="1" t="s">
        <v>3</v>
      </c>
      <c r="B200" s="1">
        <v>2075</v>
      </c>
      <c r="C200" s="1">
        <v>10.41206043</v>
      </c>
      <c r="D200" s="1">
        <v>8.7469784999999994E-2</v>
      </c>
      <c r="E200" s="1">
        <f t="shared" si="15"/>
        <v>10.324590645000001</v>
      </c>
      <c r="F200" s="10">
        <v>436000000</v>
      </c>
      <c r="G200" s="1">
        <v>8.5174887389999991</v>
      </c>
      <c r="H200" s="1">
        <v>12.16374347</v>
      </c>
      <c r="I200" s="1">
        <v>10.3406161</v>
      </c>
      <c r="J200" s="1">
        <v>69</v>
      </c>
      <c r="K200" s="1">
        <v>257</v>
      </c>
      <c r="L200" s="1">
        <v>316</v>
      </c>
      <c r="M200" s="1">
        <v>2.1478623620000001</v>
      </c>
      <c r="N200" s="1">
        <f t="shared" si="11"/>
        <v>1.7691782872837662</v>
      </c>
      <c r="O200" s="1">
        <f t="shared" si="12"/>
        <v>2.5265464385856347</v>
      </c>
      <c r="P200" s="1">
        <v>2.5378859199999999</v>
      </c>
      <c r="Q200" s="1">
        <f t="shared" si="13"/>
        <v>2.090437797460313</v>
      </c>
      <c r="R200">
        <f t="shared" si="14"/>
        <v>2.9853340447485466</v>
      </c>
    </row>
    <row r="201" spans="1:18" x14ac:dyDescent="0.4">
      <c r="A201" s="1" t="s">
        <v>3</v>
      </c>
      <c r="B201" s="1">
        <v>2076</v>
      </c>
      <c r="C201" s="1">
        <v>10.289716459999999</v>
      </c>
      <c r="D201" s="1">
        <v>8.3651634000000002E-2</v>
      </c>
      <c r="E201" s="1">
        <f t="shared" si="15"/>
        <v>10.206064825999999</v>
      </c>
      <c r="F201" s="10">
        <v>436000000</v>
      </c>
      <c r="G201" s="1">
        <v>8.2008098300000007</v>
      </c>
      <c r="H201" s="1">
        <v>12.16914611</v>
      </c>
      <c r="I201" s="1">
        <v>10.18497797</v>
      </c>
      <c r="J201" s="1">
        <v>69</v>
      </c>
      <c r="K201" s="1">
        <v>257</v>
      </c>
      <c r="L201" s="1">
        <v>316</v>
      </c>
      <c r="M201" s="1">
        <v>2.1394910920000001</v>
      </c>
      <c r="N201" s="1">
        <f t="shared" si="11"/>
        <v>1.7226899881523292</v>
      </c>
      <c r="O201" s="1">
        <f t="shared" si="12"/>
        <v>2.5562921958476705</v>
      </c>
      <c r="P201" s="1">
        <v>2.5332880179999999</v>
      </c>
      <c r="Q201" s="1">
        <f t="shared" si="13"/>
        <v>2.0397700752450052</v>
      </c>
      <c r="R201">
        <f t="shared" si="14"/>
        <v>3.0268059607549946</v>
      </c>
    </row>
    <row r="202" spans="1:18" x14ac:dyDescent="0.4">
      <c r="A202" s="1" t="s">
        <v>3</v>
      </c>
      <c r="B202" s="1">
        <v>2077</v>
      </c>
      <c r="C202" s="1">
        <v>10.25499952</v>
      </c>
      <c r="D202" s="1">
        <v>8.5740021999999999E-2</v>
      </c>
      <c r="E202" s="1">
        <f t="shared" si="15"/>
        <v>10.169259498000001</v>
      </c>
      <c r="F202" s="10">
        <v>436000000</v>
      </c>
      <c r="G202" s="1">
        <v>7.9036265229999998</v>
      </c>
      <c r="H202" s="1">
        <v>12.36790665</v>
      </c>
      <c r="I202" s="1">
        <v>10.13576658</v>
      </c>
      <c r="J202" s="1">
        <v>69</v>
      </c>
      <c r="K202" s="1">
        <v>257</v>
      </c>
      <c r="L202" s="1">
        <v>317</v>
      </c>
      <c r="M202" s="1">
        <v>2.1356310490000001</v>
      </c>
      <c r="N202" s="1">
        <f t="shared" si="11"/>
        <v>1.6653136266501032</v>
      </c>
      <c r="O202" s="1">
        <f t="shared" si="12"/>
        <v>2.6059484740890291</v>
      </c>
      <c r="P202" s="1">
        <v>2.5302249059999999</v>
      </c>
      <c r="Q202" s="1">
        <f t="shared" si="13"/>
        <v>1.9730084072453826</v>
      </c>
      <c r="R202">
        <f t="shared" si="14"/>
        <v>3.08744140799985</v>
      </c>
    </row>
    <row r="203" spans="1:18" x14ac:dyDescent="0.4">
      <c r="A203" s="1" t="s">
        <v>3</v>
      </c>
      <c r="B203" s="1">
        <v>2078</v>
      </c>
      <c r="C203" s="1">
        <v>10.156930409999999</v>
      </c>
      <c r="D203" s="1">
        <v>7.5175414999999995E-2</v>
      </c>
      <c r="E203" s="1">
        <f t="shared" si="15"/>
        <v>10.081754994999999</v>
      </c>
      <c r="F203" s="10">
        <v>436000000</v>
      </c>
      <c r="G203" s="1">
        <v>8.1225410119999992</v>
      </c>
      <c r="H203" s="1">
        <v>12.37740443</v>
      </c>
      <c r="I203" s="1">
        <v>10.249972720000001</v>
      </c>
      <c r="J203" s="1">
        <v>69</v>
      </c>
      <c r="K203" s="1">
        <v>257</v>
      </c>
      <c r="L203" s="1">
        <v>318</v>
      </c>
      <c r="M203" s="1">
        <v>2.1293703719999999</v>
      </c>
      <c r="N203" s="1">
        <f t="shared" si="11"/>
        <v>1.6874091911054074</v>
      </c>
      <c r="O203" s="1">
        <f t="shared" si="12"/>
        <v>2.5713315533100802</v>
      </c>
      <c r="P203" s="1">
        <v>2.5264417369999999</v>
      </c>
      <c r="Q203" s="1">
        <f t="shared" si="13"/>
        <v>2.0020664623984494</v>
      </c>
      <c r="R203">
        <f t="shared" si="14"/>
        <v>3.0508170120945151</v>
      </c>
    </row>
    <row r="204" spans="1:18" x14ac:dyDescent="0.4">
      <c r="A204" s="1" t="s">
        <v>3</v>
      </c>
      <c r="B204" s="1">
        <v>2079</v>
      </c>
      <c r="C204" s="1">
        <v>10.044272149999999</v>
      </c>
      <c r="D204" s="1">
        <v>6.9881062999999993E-2</v>
      </c>
      <c r="E204" s="1">
        <f t="shared" si="15"/>
        <v>9.974391086999999</v>
      </c>
      <c r="F204" s="10">
        <v>436000000</v>
      </c>
      <c r="G204" s="1">
        <v>8.0618582029999999</v>
      </c>
      <c r="H204" s="1">
        <v>12.31005749</v>
      </c>
      <c r="I204" s="1">
        <v>10.185957849999999</v>
      </c>
      <c r="J204" s="1">
        <v>69</v>
      </c>
      <c r="K204" s="1">
        <v>257</v>
      </c>
      <c r="L204" s="1">
        <v>319</v>
      </c>
      <c r="M204" s="1">
        <v>2.121836316</v>
      </c>
      <c r="N204" s="1">
        <f t="shared" si="11"/>
        <v>1.6793652360899864</v>
      </c>
      <c r="O204" s="1">
        <f t="shared" si="12"/>
        <v>2.5643073944518444</v>
      </c>
      <c r="P204" s="1">
        <v>2.5219925600000002</v>
      </c>
      <c r="Q204" s="1">
        <f t="shared" si="13"/>
        <v>1.996076039892603</v>
      </c>
      <c r="R204">
        <f t="shared" si="14"/>
        <v>3.0479090783742326</v>
      </c>
    </row>
    <row r="205" spans="1:18" x14ac:dyDescent="0.4">
      <c r="A205" s="1" t="s">
        <v>3</v>
      </c>
      <c r="B205" s="1">
        <v>2080</v>
      </c>
      <c r="C205" s="1">
        <v>9.928887134</v>
      </c>
      <c r="D205" s="1">
        <v>6.1646267999999997E-2</v>
      </c>
      <c r="E205" s="1">
        <f t="shared" si="15"/>
        <v>9.8672408659999995</v>
      </c>
      <c r="F205" s="10">
        <v>436000000</v>
      </c>
      <c r="G205" s="1">
        <v>7.9011319980000003</v>
      </c>
      <c r="H205" s="1">
        <v>12.240993169999999</v>
      </c>
      <c r="I205" s="1">
        <v>10.07106258</v>
      </c>
      <c r="J205" s="1">
        <v>69</v>
      </c>
      <c r="K205" s="1">
        <v>257</v>
      </c>
      <c r="L205" s="1">
        <v>319</v>
      </c>
      <c r="M205" s="1">
        <v>2.1141225370000001</v>
      </c>
      <c r="N205" s="1">
        <f t="shared" si="11"/>
        <v>1.6586096146354838</v>
      </c>
      <c r="O205" s="1">
        <f t="shared" si="12"/>
        <v>2.5696354610438803</v>
      </c>
      <c r="P205" s="1">
        <v>2.5171352759999999</v>
      </c>
      <c r="Q205" s="1">
        <f t="shared" si="13"/>
        <v>1.9747884510214375</v>
      </c>
      <c r="R205">
        <f t="shared" si="14"/>
        <v>3.0594821029780617</v>
      </c>
    </row>
    <row r="206" spans="1:18" x14ac:dyDescent="0.4">
      <c r="A206" s="1" t="s">
        <v>3</v>
      </c>
      <c r="B206" s="1">
        <v>2081</v>
      </c>
      <c r="C206" s="1">
        <v>9.8160031889999999</v>
      </c>
      <c r="D206" s="1">
        <v>6.4465752000000001E-2</v>
      </c>
      <c r="E206" s="1">
        <f t="shared" si="15"/>
        <v>9.7515374369999996</v>
      </c>
      <c r="F206" s="10">
        <v>436000000</v>
      </c>
      <c r="G206" s="1">
        <v>7.5944035420000002</v>
      </c>
      <c r="H206" s="1">
        <v>12.085633489999999</v>
      </c>
      <c r="I206" s="1">
        <v>9.8400185180000008</v>
      </c>
      <c r="J206" s="1">
        <v>69</v>
      </c>
      <c r="K206" s="1">
        <v>257</v>
      </c>
      <c r="L206" s="1">
        <v>320</v>
      </c>
      <c r="M206" s="1">
        <v>2.1064766289999999</v>
      </c>
      <c r="N206" s="1">
        <f t="shared" si="11"/>
        <v>1.6257523848308084</v>
      </c>
      <c r="O206" s="1">
        <f t="shared" si="12"/>
        <v>2.5872008723129012</v>
      </c>
      <c r="P206" s="1">
        <v>2.5132668969999998</v>
      </c>
      <c r="Q206" s="1">
        <f t="shared" si="13"/>
        <v>1.9397080391315731</v>
      </c>
      <c r="R206">
        <f t="shared" si="14"/>
        <v>3.0868257538467749</v>
      </c>
    </row>
    <row r="207" spans="1:18" x14ac:dyDescent="0.4">
      <c r="A207" s="1" t="s">
        <v>3</v>
      </c>
      <c r="B207" s="1">
        <v>2082</v>
      </c>
      <c r="C207" s="1">
        <v>9.7549644910000008</v>
      </c>
      <c r="D207" s="1">
        <v>6.5044112000000001E-2</v>
      </c>
      <c r="E207" s="1">
        <f t="shared" si="15"/>
        <v>9.6899203790000001</v>
      </c>
      <c r="F207" s="10">
        <v>436000000</v>
      </c>
      <c r="G207" s="1">
        <v>7.5947573979999996</v>
      </c>
      <c r="H207" s="1">
        <v>12.15758424</v>
      </c>
      <c r="I207" s="1">
        <v>9.8761708170000002</v>
      </c>
      <c r="J207" s="1">
        <v>69</v>
      </c>
      <c r="K207" s="1">
        <v>257</v>
      </c>
      <c r="L207" s="1">
        <v>321</v>
      </c>
      <c r="M207" s="1">
        <v>2.1012128149999998</v>
      </c>
      <c r="N207" s="1">
        <f t="shared" si="11"/>
        <v>1.6158288335824005</v>
      </c>
      <c r="O207" s="1">
        <f t="shared" si="12"/>
        <v>2.5865967972686223</v>
      </c>
      <c r="P207" s="1">
        <v>2.5088957540000001</v>
      </c>
      <c r="Q207" s="1">
        <f t="shared" si="13"/>
        <v>1.9293362722831375</v>
      </c>
      <c r="R207">
        <f t="shared" si="14"/>
        <v>3.0884552367330036</v>
      </c>
    </row>
    <row r="208" spans="1:18" x14ac:dyDescent="0.4">
      <c r="A208" s="1" t="s">
        <v>3</v>
      </c>
      <c r="B208" s="1">
        <v>2083</v>
      </c>
      <c r="C208" s="1">
        <v>9.6460584849999993</v>
      </c>
      <c r="D208" s="1">
        <v>5.5961404999999999E-2</v>
      </c>
      <c r="E208" s="1">
        <f t="shared" si="15"/>
        <v>9.5900970799999996</v>
      </c>
      <c r="F208" s="10">
        <v>436000000</v>
      </c>
      <c r="G208" s="1">
        <v>7.5612535599999999</v>
      </c>
      <c r="H208" s="1">
        <v>12.06506411</v>
      </c>
      <c r="I208" s="1">
        <v>9.8131588349999994</v>
      </c>
      <c r="J208" s="1">
        <v>69</v>
      </c>
      <c r="K208" s="1">
        <v>257</v>
      </c>
      <c r="L208" s="1">
        <v>322</v>
      </c>
      <c r="M208" s="1">
        <v>2.0944081460000001</v>
      </c>
      <c r="N208" s="1">
        <f t="shared" si="11"/>
        <v>1.6137872948263046</v>
      </c>
      <c r="O208" s="1">
        <f t="shared" si="12"/>
        <v>2.5750289971736957</v>
      </c>
      <c r="P208" s="1">
        <v>2.5045322109999999</v>
      </c>
      <c r="Q208" s="1">
        <f t="shared" si="13"/>
        <v>1.9297968589905556</v>
      </c>
      <c r="R208">
        <f t="shared" si="14"/>
        <v>3.0792675630094442</v>
      </c>
    </row>
    <row r="209" spans="1:18" x14ac:dyDescent="0.4">
      <c r="A209" s="1" t="s">
        <v>3</v>
      </c>
      <c r="B209" s="1">
        <v>2084</v>
      </c>
      <c r="C209" s="1">
        <v>9.5158670900000004</v>
      </c>
      <c r="D209" s="1">
        <v>5.9115541000000001E-2</v>
      </c>
      <c r="E209" s="1">
        <f t="shared" si="15"/>
        <v>9.4567515489999998</v>
      </c>
      <c r="F209" s="10">
        <v>436000000</v>
      </c>
      <c r="G209" s="1">
        <v>7.3383972919999998</v>
      </c>
      <c r="H209" s="1">
        <v>11.784012110000001</v>
      </c>
      <c r="I209" s="1">
        <v>9.5612046999999993</v>
      </c>
      <c r="J209" s="1">
        <v>69</v>
      </c>
      <c r="K209" s="1">
        <v>257</v>
      </c>
      <c r="L209" s="1">
        <v>322</v>
      </c>
      <c r="M209" s="1">
        <v>2.085920448</v>
      </c>
      <c r="N209" s="1">
        <f t="shared" si="11"/>
        <v>1.6009816176125407</v>
      </c>
      <c r="O209" s="1">
        <f t="shared" si="12"/>
        <v>2.5708592788237898</v>
      </c>
      <c r="P209" s="1">
        <v>2.4995846049999999</v>
      </c>
      <c r="Q209" s="1">
        <f t="shared" si="13"/>
        <v>1.918476329291108</v>
      </c>
      <c r="R209">
        <f t="shared" si="14"/>
        <v>3.080692881231752</v>
      </c>
    </row>
    <row r="210" spans="1:18" x14ac:dyDescent="0.4">
      <c r="A210" s="1" t="s">
        <v>3</v>
      </c>
      <c r="B210" s="1">
        <v>2085</v>
      </c>
      <c r="C210" s="1">
        <v>9.3975439470000008</v>
      </c>
      <c r="D210" s="1">
        <v>4.9703447999999997E-2</v>
      </c>
      <c r="E210" s="1">
        <f t="shared" si="15"/>
        <v>9.3478404990000001</v>
      </c>
      <c r="F210" s="10">
        <v>436000000</v>
      </c>
      <c r="G210" s="1">
        <v>7.2598252649999999</v>
      </c>
      <c r="H210" s="1">
        <v>11.914627469999999</v>
      </c>
      <c r="I210" s="1">
        <v>9.5872263669999995</v>
      </c>
      <c r="J210" s="1">
        <v>69</v>
      </c>
      <c r="K210" s="1">
        <v>257</v>
      </c>
      <c r="L210" s="1">
        <v>323</v>
      </c>
      <c r="M210" s="1">
        <v>2.078865639</v>
      </c>
      <c r="N210" s="1">
        <f t="shared" si="11"/>
        <v>1.5741989091340467</v>
      </c>
      <c r="O210" s="1">
        <f t="shared" si="12"/>
        <v>2.58353236908279</v>
      </c>
      <c r="P210" s="1">
        <v>2.4956464679999999</v>
      </c>
      <c r="Q210" s="1">
        <f t="shared" si="13"/>
        <v>1.8898017619838279</v>
      </c>
      <c r="R210">
        <f t="shared" si="14"/>
        <v>3.1014911742764815</v>
      </c>
    </row>
    <row r="211" spans="1:18" x14ac:dyDescent="0.4">
      <c r="A211" s="1" t="s">
        <v>3</v>
      </c>
      <c r="B211" s="1">
        <v>2086</v>
      </c>
      <c r="C211" s="1">
        <v>9.3056299819999992</v>
      </c>
      <c r="D211" s="1">
        <v>6.3177513000000005E-2</v>
      </c>
      <c r="E211" s="1">
        <f t="shared" si="15"/>
        <v>9.2424524689999998</v>
      </c>
      <c r="F211" s="10">
        <v>436000000</v>
      </c>
      <c r="G211" s="1">
        <v>7.1427819420000001</v>
      </c>
      <c r="H211" s="1">
        <v>11.83216344</v>
      </c>
      <c r="I211" s="1">
        <v>9.4874726890000005</v>
      </c>
      <c r="J211" s="1">
        <v>69</v>
      </c>
      <c r="K211" s="1">
        <v>257</v>
      </c>
      <c r="L211" s="1">
        <v>324</v>
      </c>
      <c r="M211" s="1">
        <v>2.0718765910000001</v>
      </c>
      <c r="N211" s="1">
        <f t="shared" si="11"/>
        <v>1.5598424559794082</v>
      </c>
      <c r="O211" s="1">
        <f t="shared" si="12"/>
        <v>2.5839107268941128</v>
      </c>
      <c r="P211" s="1">
        <v>2.4909137029999999</v>
      </c>
      <c r="Q211" s="1">
        <f t="shared" si="13"/>
        <v>1.8753206465086616</v>
      </c>
      <c r="R211">
        <f t="shared" si="14"/>
        <v>3.1065067605415284</v>
      </c>
    </row>
    <row r="212" spans="1:18" x14ac:dyDescent="0.4">
      <c r="A212" s="1" t="s">
        <v>3</v>
      </c>
      <c r="B212" s="1">
        <v>2087</v>
      </c>
      <c r="C212" s="1">
        <v>9.1786559759999999</v>
      </c>
      <c r="D212" s="1">
        <v>5.7188258999999998E-2</v>
      </c>
      <c r="E212" s="1">
        <f t="shared" si="15"/>
        <v>9.1214677169999998</v>
      </c>
      <c r="F212" s="10">
        <v>436000000</v>
      </c>
      <c r="G212" s="1">
        <v>6.9000409559999998</v>
      </c>
      <c r="H212" s="1">
        <v>11.66153411</v>
      </c>
      <c r="I212" s="1">
        <v>9.2807875319999997</v>
      </c>
      <c r="J212" s="1">
        <v>69</v>
      </c>
      <c r="K212" s="1">
        <v>257</v>
      </c>
      <c r="L212" s="1">
        <v>325</v>
      </c>
      <c r="M212" s="1">
        <v>2.0642289539999998</v>
      </c>
      <c r="N212" s="1">
        <f t="shared" si="11"/>
        <v>1.5347042776327442</v>
      </c>
      <c r="O212" s="1">
        <f t="shared" si="12"/>
        <v>2.5937536308120945</v>
      </c>
      <c r="P212" s="1">
        <v>2.4859625649999999</v>
      </c>
      <c r="Q212" s="1">
        <f t="shared" si="13"/>
        <v>1.8482530124128707</v>
      </c>
      <c r="R212">
        <f t="shared" si="14"/>
        <v>3.1236721181228515</v>
      </c>
    </row>
    <row r="213" spans="1:18" x14ac:dyDescent="0.4">
      <c r="A213" s="1" t="s">
        <v>3</v>
      </c>
      <c r="B213" s="1">
        <v>2088</v>
      </c>
      <c r="C213" s="1">
        <v>9.0660718060000001</v>
      </c>
      <c r="D213" s="1">
        <v>4.1410917999999998E-2</v>
      </c>
      <c r="E213" s="1">
        <f t="shared" si="15"/>
        <v>9.0246608879999997</v>
      </c>
      <c r="F213" s="10">
        <v>436000000</v>
      </c>
      <c r="G213" s="1">
        <v>6.7791194250000002</v>
      </c>
      <c r="H213" s="1">
        <v>11.73362764</v>
      </c>
      <c r="I213" s="1">
        <v>9.2563735309999995</v>
      </c>
      <c r="J213" s="1">
        <v>69</v>
      </c>
      <c r="K213" s="1">
        <v>257</v>
      </c>
      <c r="L213" s="1">
        <v>325</v>
      </c>
      <c r="M213" s="1">
        <v>2.0576721459999998</v>
      </c>
      <c r="N213" s="1">
        <f t="shared" si="11"/>
        <v>1.5069838277931997</v>
      </c>
      <c r="O213" s="1">
        <f t="shared" si="12"/>
        <v>2.608360464873694</v>
      </c>
      <c r="P213" s="1">
        <v>2.4810644489999998</v>
      </c>
      <c r="Q213" s="1">
        <f t="shared" si="13"/>
        <v>1.8170649817192237</v>
      </c>
      <c r="R213">
        <f t="shared" si="14"/>
        <v>3.1450639170848915</v>
      </c>
    </row>
    <row r="214" spans="1:18" x14ac:dyDescent="0.4">
      <c r="A214" s="1" t="s">
        <v>3</v>
      </c>
      <c r="B214" s="1">
        <v>2089</v>
      </c>
      <c r="C214" s="1">
        <v>8.9044683009999996</v>
      </c>
      <c r="D214" s="1">
        <v>5.1772512999999999E-2</v>
      </c>
      <c r="E214" s="1">
        <f t="shared" si="15"/>
        <v>8.8526957880000001</v>
      </c>
      <c r="F214" s="10">
        <v>436000000</v>
      </c>
      <c r="G214" s="1">
        <v>6.6696397029999996</v>
      </c>
      <c r="H214" s="1">
        <v>11.55968427</v>
      </c>
      <c r="I214" s="1">
        <v>9.1146619869999999</v>
      </c>
      <c r="J214" s="1">
        <v>69</v>
      </c>
      <c r="K214" s="1">
        <v>257</v>
      </c>
      <c r="L214" s="1">
        <v>326</v>
      </c>
      <c r="M214" s="1">
        <v>2.0484260079999999</v>
      </c>
      <c r="N214" s="1">
        <f t="shared" si="11"/>
        <v>1.498932538705299</v>
      </c>
      <c r="O214" s="1">
        <f t="shared" si="12"/>
        <v>2.597919477069961</v>
      </c>
      <c r="P214" s="1">
        <v>2.4768945019999999</v>
      </c>
      <c r="Q214" s="1">
        <f t="shared" si="13"/>
        <v>1.8124636913846768</v>
      </c>
      <c r="R214">
        <f t="shared" si="14"/>
        <v>3.1413253123435747</v>
      </c>
    </row>
    <row r="215" spans="1:18" x14ac:dyDescent="0.4">
      <c r="A215" s="1" t="s">
        <v>3</v>
      </c>
      <c r="B215" s="1">
        <v>2090</v>
      </c>
      <c r="C215" s="1">
        <v>8.7751437130000003</v>
      </c>
      <c r="D215" s="1">
        <v>5.2465151000000002E-2</v>
      </c>
      <c r="E215" s="1">
        <f t="shared" si="15"/>
        <v>8.7226785620000005</v>
      </c>
      <c r="F215" s="10">
        <v>436000000</v>
      </c>
      <c r="G215" s="1">
        <v>6.1278250539999997</v>
      </c>
      <c r="H215" s="1">
        <v>11.67471827</v>
      </c>
      <c r="I215" s="1">
        <v>8.9012716600000008</v>
      </c>
      <c r="J215" s="1">
        <v>69</v>
      </c>
      <c r="K215" s="1">
        <v>257</v>
      </c>
      <c r="L215" s="1">
        <v>327</v>
      </c>
      <c r="M215" s="1">
        <v>2.0405105630000002</v>
      </c>
      <c r="N215" s="1">
        <f t="shared" ref="N215:N225" si="16">M215*G215/I215</f>
        <v>1.4047309450280325</v>
      </c>
      <c r="O215" s="1">
        <f t="shared" ref="O215:O225" si="17">H215*M215/I215</f>
        <v>2.6762901818889198</v>
      </c>
      <c r="P215" s="1">
        <v>2.4714685529999998</v>
      </c>
      <c r="Q215" s="1">
        <f t="shared" ref="Q215:Q225" si="18">P215*G215/I215</f>
        <v>1.7014116069845377</v>
      </c>
      <c r="R215">
        <f t="shared" si="14"/>
        <v>3.241525500126075</v>
      </c>
    </row>
    <row r="216" spans="1:18" x14ac:dyDescent="0.4">
      <c r="A216" s="1" t="s">
        <v>3</v>
      </c>
      <c r="B216" s="1">
        <v>2091</v>
      </c>
      <c r="C216" s="1">
        <v>8.5971432110000006</v>
      </c>
      <c r="D216" s="1">
        <v>4.2561722000000003E-2</v>
      </c>
      <c r="E216" s="1">
        <f t="shared" si="15"/>
        <v>8.5545814890000003</v>
      </c>
      <c r="F216" s="10">
        <v>436000000</v>
      </c>
      <c r="G216" s="1">
        <v>6.2274695170000003</v>
      </c>
      <c r="H216" s="1">
        <v>11.4241013</v>
      </c>
      <c r="I216" s="1">
        <v>8.8257854069999997</v>
      </c>
      <c r="J216" s="1">
        <v>69</v>
      </c>
      <c r="K216" s="1">
        <v>257</v>
      </c>
      <c r="L216" s="1">
        <v>328</v>
      </c>
      <c r="M216" s="1">
        <v>2.0311353520000002</v>
      </c>
      <c r="N216" s="1">
        <f t="shared" si="16"/>
        <v>1.4331680305130567</v>
      </c>
      <c r="O216" s="1">
        <f t="shared" si="17"/>
        <v>2.6291026741773535</v>
      </c>
      <c r="P216" s="1">
        <v>2.4657198949999999</v>
      </c>
      <c r="Q216" s="1">
        <f t="shared" si="18"/>
        <v>1.7398106542896756</v>
      </c>
      <c r="R216">
        <f t="shared" si="14"/>
        <v>3.191629136548455</v>
      </c>
    </row>
    <row r="217" spans="1:18" x14ac:dyDescent="0.4">
      <c r="A217" s="1" t="s">
        <v>3</v>
      </c>
      <c r="B217" s="1">
        <v>2092</v>
      </c>
      <c r="C217" s="1">
        <v>8.4912211339999999</v>
      </c>
      <c r="D217" s="1">
        <v>3.6013889E-2</v>
      </c>
      <c r="E217" s="1">
        <f t="shared" si="15"/>
        <v>8.4552072450000004</v>
      </c>
      <c r="F217" s="10">
        <v>436000000</v>
      </c>
      <c r="G217" s="1">
        <v>6.1503072510000001</v>
      </c>
      <c r="H217" s="1">
        <v>11.47170012</v>
      </c>
      <c r="I217" s="1">
        <v>8.8110036859999994</v>
      </c>
      <c r="J217" s="1">
        <v>69</v>
      </c>
      <c r="K217" s="1">
        <v>257</v>
      </c>
      <c r="L217" s="1">
        <v>328</v>
      </c>
      <c r="M217" s="1">
        <v>2.0245920659999999</v>
      </c>
      <c r="N217" s="1">
        <f t="shared" si="16"/>
        <v>1.4132173481690757</v>
      </c>
      <c r="O217" s="1">
        <f t="shared" si="17"/>
        <v>2.6359667836011447</v>
      </c>
      <c r="P217" s="1">
        <v>2.460226596</v>
      </c>
      <c r="Q217" s="1">
        <f t="shared" si="18"/>
        <v>1.7173014575540435</v>
      </c>
      <c r="R217">
        <f t="shared" si="14"/>
        <v>3.203151734166735</v>
      </c>
    </row>
    <row r="218" spans="1:18" x14ac:dyDescent="0.4">
      <c r="A218" s="1" t="s">
        <v>3</v>
      </c>
      <c r="B218" s="1">
        <v>2093</v>
      </c>
      <c r="C218" s="1">
        <v>8.3815179620000002</v>
      </c>
      <c r="D218" s="1">
        <v>2.6654578000000002E-2</v>
      </c>
      <c r="E218" s="1">
        <f t="shared" si="15"/>
        <v>8.3548633839999997</v>
      </c>
      <c r="F218" s="10">
        <v>436000000</v>
      </c>
      <c r="G218" s="1">
        <v>5.9237704310000003</v>
      </c>
      <c r="H218" s="1">
        <v>11.41622662</v>
      </c>
      <c r="I218" s="1">
        <v>8.6699985240000004</v>
      </c>
      <c r="J218" s="1">
        <v>69</v>
      </c>
      <c r="K218" s="1">
        <v>257</v>
      </c>
      <c r="L218" s="1">
        <v>329</v>
      </c>
      <c r="M218" s="1">
        <v>2.0188216319999999</v>
      </c>
      <c r="N218" s="1">
        <f t="shared" si="16"/>
        <v>1.3793584688624987</v>
      </c>
      <c r="O218" s="1">
        <f t="shared" si="17"/>
        <v>2.6582847958360554</v>
      </c>
      <c r="P218" s="1">
        <v>2.4565543779999999</v>
      </c>
      <c r="Q218" s="1">
        <f t="shared" si="18"/>
        <v>1.6784390615820128</v>
      </c>
      <c r="R218">
        <f t="shared" si="14"/>
        <v>3.2346696952680056</v>
      </c>
    </row>
    <row r="219" spans="1:18" x14ac:dyDescent="0.4">
      <c r="A219" s="1" t="s">
        <v>3</v>
      </c>
      <c r="B219" s="1">
        <v>2094</v>
      </c>
      <c r="C219" s="1">
        <v>8.2327659119999996</v>
      </c>
      <c r="D219" s="1">
        <v>2.8398748000000001E-2</v>
      </c>
      <c r="E219" s="1">
        <f t="shared" si="15"/>
        <v>8.2043671639999989</v>
      </c>
      <c r="F219" s="10">
        <v>436000000</v>
      </c>
      <c r="G219" s="1">
        <v>5.7125654309999998</v>
      </c>
      <c r="H219" s="1">
        <v>11.22409816</v>
      </c>
      <c r="I219" s="1">
        <v>8.4683317939999991</v>
      </c>
      <c r="J219" s="1">
        <v>69</v>
      </c>
      <c r="K219" s="1">
        <v>257</v>
      </c>
      <c r="L219" s="1">
        <v>330</v>
      </c>
      <c r="M219" s="1">
        <v>2.0110628629999998</v>
      </c>
      <c r="N219" s="1">
        <f t="shared" si="16"/>
        <v>1.3566223513917373</v>
      </c>
      <c r="O219" s="1">
        <f t="shared" si="17"/>
        <v>2.665503375320704</v>
      </c>
      <c r="P219" s="1">
        <v>2.451744004</v>
      </c>
      <c r="Q219" s="1">
        <f t="shared" si="18"/>
        <v>1.653896940225619</v>
      </c>
      <c r="R219">
        <f t="shared" si="14"/>
        <v>3.249591068642939</v>
      </c>
    </row>
    <row r="220" spans="1:18" x14ac:dyDescent="0.4">
      <c r="A220" s="1" t="s">
        <v>3</v>
      </c>
      <c r="B220" s="1">
        <v>2095</v>
      </c>
      <c r="C220" s="1">
        <v>8.016376309</v>
      </c>
      <c r="D220" s="1">
        <v>2.6600431000000001E-2</v>
      </c>
      <c r="E220" s="1">
        <f t="shared" si="15"/>
        <v>7.9897758779999997</v>
      </c>
      <c r="F220" s="10">
        <v>436000000</v>
      </c>
      <c r="G220" s="1">
        <v>4.9871741329999999</v>
      </c>
      <c r="H220" s="1">
        <v>10.85528847</v>
      </c>
      <c r="I220" s="1">
        <v>7.921231304</v>
      </c>
      <c r="J220" s="1">
        <v>69</v>
      </c>
      <c r="K220" s="1">
        <v>257</v>
      </c>
      <c r="L220" s="1">
        <v>331</v>
      </c>
      <c r="M220" s="1">
        <v>2.0006377689999999</v>
      </c>
      <c r="N220" s="1">
        <f t="shared" si="16"/>
        <v>1.2595931804214904</v>
      </c>
      <c r="O220" s="1">
        <f t="shared" si="17"/>
        <v>2.7416823563156769</v>
      </c>
      <c r="P220" s="1">
        <v>2.4458335419999999</v>
      </c>
      <c r="Q220" s="1">
        <f t="shared" si="18"/>
        <v>1.5398865790128642</v>
      </c>
      <c r="R220">
        <f t="shared" si="14"/>
        <v>3.351780503443289</v>
      </c>
    </row>
    <row r="221" spans="1:18" x14ac:dyDescent="0.4">
      <c r="A221" s="1" t="s">
        <v>3</v>
      </c>
      <c r="B221" s="1">
        <v>2096</v>
      </c>
      <c r="C221" s="1">
        <v>7.8790476370000002</v>
      </c>
      <c r="D221" s="1">
        <v>2.3669195000000001E-2</v>
      </c>
      <c r="E221" s="1">
        <f t="shared" si="15"/>
        <v>7.8553784420000001</v>
      </c>
      <c r="F221" s="10">
        <v>436000000</v>
      </c>
      <c r="G221" s="1">
        <v>4.9213517180000004</v>
      </c>
      <c r="H221" s="1">
        <v>10.808131120000001</v>
      </c>
      <c r="I221" s="1">
        <v>7.8647414199999996</v>
      </c>
      <c r="J221" s="1">
        <v>69</v>
      </c>
      <c r="K221" s="1">
        <v>257</v>
      </c>
      <c r="L221" s="1">
        <v>331</v>
      </c>
      <c r="M221" s="1">
        <v>1.993076852</v>
      </c>
      <c r="N221" s="1">
        <f t="shared" si="16"/>
        <v>1.247165248784013</v>
      </c>
      <c r="O221" s="1">
        <f t="shared" si="17"/>
        <v>2.738988454709149</v>
      </c>
      <c r="P221" s="1">
        <v>2.4397502539999998</v>
      </c>
      <c r="Q221" s="1">
        <f t="shared" si="18"/>
        <v>1.5266705493305126</v>
      </c>
      <c r="R221">
        <f t="shared" si="14"/>
        <v>3.3528299580490599</v>
      </c>
    </row>
    <row r="222" spans="1:18" x14ac:dyDescent="0.4">
      <c r="A222" s="1" t="s">
        <v>3</v>
      </c>
      <c r="B222" s="1">
        <v>2097</v>
      </c>
      <c r="C222" s="1">
        <v>7.7115848649999998</v>
      </c>
      <c r="D222" s="1">
        <v>2.3964183E-2</v>
      </c>
      <c r="E222" s="1">
        <f t="shared" si="15"/>
        <v>7.6876206819999995</v>
      </c>
      <c r="F222" s="10">
        <v>436000000</v>
      </c>
      <c r="G222" s="1">
        <v>4.8517884499999999</v>
      </c>
      <c r="H222" s="1">
        <v>10.784263960000001</v>
      </c>
      <c r="I222" s="1">
        <v>7.8180262059999999</v>
      </c>
      <c r="J222" s="1">
        <v>69</v>
      </c>
      <c r="K222" s="1">
        <v>257</v>
      </c>
      <c r="L222" s="1">
        <v>332</v>
      </c>
      <c r="M222" s="1">
        <v>1.9849993500000001</v>
      </c>
      <c r="N222" s="1">
        <f t="shared" si="16"/>
        <v>1.2318706366315686</v>
      </c>
      <c r="O222" s="1">
        <f t="shared" si="17"/>
        <v>2.738128062860631</v>
      </c>
      <c r="P222" s="1">
        <v>2.435114612</v>
      </c>
      <c r="Q222" s="1">
        <f t="shared" si="18"/>
        <v>1.5112076421361424</v>
      </c>
      <c r="R222">
        <f t="shared" si="14"/>
        <v>3.359021581240909</v>
      </c>
    </row>
    <row r="223" spans="1:18" x14ac:dyDescent="0.4">
      <c r="A223" s="1" t="s">
        <v>3</v>
      </c>
      <c r="B223" s="1">
        <v>2098</v>
      </c>
      <c r="C223" s="1">
        <v>7.6232812450000003</v>
      </c>
      <c r="D223" s="1">
        <v>2.4869866000000001E-2</v>
      </c>
      <c r="E223" s="1">
        <f t="shared" si="15"/>
        <v>7.5984113789999999</v>
      </c>
      <c r="F223" s="10">
        <v>436000000</v>
      </c>
      <c r="G223" s="1">
        <v>4.806531101</v>
      </c>
      <c r="H223" s="1">
        <v>10.90042276</v>
      </c>
      <c r="I223" s="1">
        <v>7.8534769290000002</v>
      </c>
      <c r="J223" s="1">
        <v>69</v>
      </c>
      <c r="K223" s="1">
        <v>257</v>
      </c>
      <c r="L223" s="1">
        <v>333</v>
      </c>
      <c r="M223" s="1">
        <v>1.9797509470000001</v>
      </c>
      <c r="N223" s="1">
        <f t="shared" si="16"/>
        <v>1.2116588085783504</v>
      </c>
      <c r="O223" s="1">
        <f t="shared" si="17"/>
        <v>2.7478430861779071</v>
      </c>
      <c r="P223" s="1">
        <v>2.4300515229999999</v>
      </c>
      <c r="Q223" s="1">
        <f t="shared" si="18"/>
        <v>1.4872544132906966</v>
      </c>
      <c r="R223">
        <f t="shared" si="14"/>
        <v>3.3728486336375738</v>
      </c>
    </row>
    <row r="224" spans="1:18" x14ac:dyDescent="0.4">
      <c r="A224" s="1" t="s">
        <v>3</v>
      </c>
      <c r="B224" s="1">
        <v>2099</v>
      </c>
      <c r="C224" s="1">
        <v>7.4282099690000001</v>
      </c>
      <c r="D224" s="1">
        <v>3.4707439999999999E-2</v>
      </c>
      <c r="E224" s="1">
        <f t="shared" si="15"/>
        <v>7.393502529</v>
      </c>
      <c r="F224" s="10">
        <v>436000000</v>
      </c>
      <c r="G224" s="1">
        <v>4.7213551899999997</v>
      </c>
      <c r="H224" s="1">
        <v>10.49191038</v>
      </c>
      <c r="I224" s="1">
        <v>7.6066327859999996</v>
      </c>
      <c r="J224" s="1">
        <v>69</v>
      </c>
      <c r="K224" s="1">
        <v>257</v>
      </c>
      <c r="L224" s="1">
        <v>334</v>
      </c>
      <c r="M224" s="1">
        <v>1.9707675549999999</v>
      </c>
      <c r="N224" s="1">
        <f t="shared" si="16"/>
        <v>1.2232342333138704</v>
      </c>
      <c r="O224" s="1">
        <f t="shared" si="17"/>
        <v>2.7183008761679588</v>
      </c>
      <c r="P224" s="1">
        <v>2.4246867870000002</v>
      </c>
      <c r="Q224" s="1">
        <f t="shared" si="18"/>
        <v>1.5049770204493838</v>
      </c>
      <c r="R224">
        <f t="shared" si="14"/>
        <v>3.3443965529130977</v>
      </c>
    </row>
    <row r="225" spans="1:18" x14ac:dyDescent="0.4">
      <c r="A225" s="1" t="s">
        <v>3</v>
      </c>
      <c r="B225" s="1">
        <v>2100</v>
      </c>
      <c r="C225" s="1">
        <v>7.2023755469999999</v>
      </c>
      <c r="D225" s="1">
        <v>3.0544049E-2</v>
      </c>
      <c r="E225" s="1">
        <f t="shared" si="15"/>
        <v>7.1718314979999995</v>
      </c>
      <c r="F225" s="10">
        <v>436000000</v>
      </c>
      <c r="G225" s="1">
        <v>4.2311121710000004</v>
      </c>
      <c r="H225" s="1">
        <v>10.52954742</v>
      </c>
      <c r="I225" s="1">
        <v>7.380329798</v>
      </c>
      <c r="J225" s="1">
        <v>69</v>
      </c>
      <c r="K225" s="1">
        <v>257</v>
      </c>
      <c r="L225" s="1">
        <v>334</v>
      </c>
      <c r="M225" s="1">
        <v>1.9610090520000001</v>
      </c>
      <c r="N225" s="1">
        <f t="shared" si="16"/>
        <v>1.1242382785667451</v>
      </c>
      <c r="O225" s="1">
        <f t="shared" si="17"/>
        <v>2.7977798241047176</v>
      </c>
      <c r="P225" s="1">
        <v>2.4183135600000001</v>
      </c>
      <c r="Q225" s="1">
        <f t="shared" si="18"/>
        <v>1.3864090382225409</v>
      </c>
      <c r="R225">
        <f t="shared" si="14"/>
        <v>3.4502180801391087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A38DA-7C8A-4BED-BE90-4F31638BA3F2}">
  <dimension ref="A1:Y500"/>
  <sheetViews>
    <sheetView topLeftCell="G40" workbookViewId="0">
      <selection activeCell="I11" sqref="I11"/>
    </sheetView>
  </sheetViews>
  <sheetFormatPr defaultRowHeight="13.9" x14ac:dyDescent="0.4"/>
  <cols>
    <col min="1" max="2" width="9.06640625" style="1"/>
    <col min="3" max="3" width="19.19921875" style="1" customWidth="1"/>
    <col min="4" max="4" width="19.53125" style="1" customWidth="1"/>
    <col min="5" max="5" width="15.86328125" style="1" customWidth="1"/>
    <col min="6" max="6" width="10.06640625" style="1" bestFit="1" customWidth="1"/>
    <col min="7" max="7" width="15.59765625" style="10" customWidth="1"/>
    <col min="8" max="10" width="10.06640625" style="1" customWidth="1"/>
    <col min="11" max="12" width="9.06640625" style="1"/>
    <col min="13" max="13" width="15.1328125" style="1" customWidth="1"/>
  </cols>
  <sheetData>
    <row r="1" spans="1:25" ht="16.149999999999999" x14ac:dyDescent="0.4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3" t="s">
        <v>11</v>
      </c>
      <c r="G1" s="9" t="s">
        <v>12</v>
      </c>
      <c r="H1" s="1" t="s">
        <v>14</v>
      </c>
      <c r="I1" s="1" t="s">
        <v>15</v>
      </c>
      <c r="J1" s="1" t="s">
        <v>16</v>
      </c>
      <c r="K1" s="1" t="s">
        <v>8</v>
      </c>
      <c r="L1" s="1" t="s">
        <v>9</v>
      </c>
      <c r="M1" s="1" t="s">
        <v>10</v>
      </c>
      <c r="N1" s="3" t="s">
        <v>28</v>
      </c>
      <c r="O1" s="3" t="s">
        <v>27</v>
      </c>
      <c r="P1" s="3" t="s">
        <v>26</v>
      </c>
      <c r="Q1" s="3" t="s">
        <v>25</v>
      </c>
      <c r="R1" s="3" t="s">
        <v>24</v>
      </c>
      <c r="S1" s="3" t="s">
        <v>23</v>
      </c>
      <c r="W1" s="1"/>
      <c r="X1" s="1"/>
      <c r="Y1" s="1"/>
    </row>
    <row r="2" spans="1:25" x14ac:dyDescent="0.4">
      <c r="A2" s="1" t="s">
        <v>2</v>
      </c>
      <c r="B2" s="1">
        <v>1989</v>
      </c>
      <c r="C2" s="1">
        <v>15.766</v>
      </c>
      <c r="D2" s="1">
        <v>6.8879999999999999</v>
      </c>
      <c r="E2" s="1">
        <f>C2-D2</f>
        <v>8.8780000000000001</v>
      </c>
      <c r="F2" s="4">
        <v>436000000</v>
      </c>
      <c r="G2" s="8">
        <v>436000000</v>
      </c>
      <c r="K2" s="1">
        <v>65</v>
      </c>
      <c r="L2" s="1">
        <v>265</v>
      </c>
      <c r="M2" s="1">
        <v>265</v>
      </c>
      <c r="N2" s="6">
        <v>2.1932364281074981</v>
      </c>
      <c r="O2" s="6"/>
      <c r="P2" s="6"/>
      <c r="Q2" s="7">
        <v>2.1932364281074981</v>
      </c>
      <c r="R2" s="7"/>
      <c r="S2" s="7"/>
      <c r="W2" s="7"/>
    </row>
    <row r="3" spans="1:25" x14ac:dyDescent="0.4">
      <c r="A3" s="1" t="s">
        <v>2</v>
      </c>
      <c r="B3" s="1">
        <v>1990</v>
      </c>
      <c r="C3" s="1">
        <v>16.248999999999999</v>
      </c>
      <c r="D3" s="1">
        <v>6.0110000000000001</v>
      </c>
      <c r="E3" s="1">
        <f t="shared" ref="E3:E66" si="0">C3-D3</f>
        <v>10.238</v>
      </c>
      <c r="F3" s="4">
        <v>436000000</v>
      </c>
      <c r="G3" s="8">
        <v>436000000</v>
      </c>
      <c r="K3" s="1">
        <v>71</v>
      </c>
      <c r="L3" s="1">
        <v>264</v>
      </c>
      <c r="M3" s="1">
        <v>264</v>
      </c>
      <c r="N3" s="6">
        <v>2.230296978880848</v>
      </c>
      <c r="O3" s="6"/>
      <c r="P3" s="6"/>
      <c r="Q3" s="7">
        <v>2.230296978880848</v>
      </c>
      <c r="R3" s="7"/>
      <c r="S3" s="7"/>
      <c r="W3" s="7"/>
    </row>
    <row r="4" spans="1:25" x14ac:dyDescent="0.4">
      <c r="A4" s="1" t="s">
        <v>2</v>
      </c>
      <c r="B4" s="1">
        <v>1991</v>
      </c>
      <c r="C4" s="1">
        <v>15.647</v>
      </c>
      <c r="D4" s="1">
        <v>6.2590000000000003</v>
      </c>
      <c r="E4" s="1">
        <f t="shared" si="0"/>
        <v>9.3879999999999999</v>
      </c>
      <c r="F4" s="4">
        <v>436000000</v>
      </c>
      <c r="G4" s="8">
        <v>436000000</v>
      </c>
      <c r="K4" s="1">
        <v>56</v>
      </c>
      <c r="L4" s="1">
        <v>259</v>
      </c>
      <c r="M4" s="1">
        <v>259</v>
      </c>
      <c r="N4" s="6">
        <v>2.1869691879278892</v>
      </c>
      <c r="O4" s="6"/>
      <c r="P4" s="6"/>
      <c r="Q4" s="7">
        <v>2.1869691879278892</v>
      </c>
      <c r="R4" s="7"/>
      <c r="S4" s="7"/>
      <c r="W4" s="7"/>
    </row>
    <row r="5" spans="1:25" x14ac:dyDescent="0.4">
      <c r="A5" s="1" t="s">
        <v>2</v>
      </c>
      <c r="B5" s="1">
        <v>1992</v>
      </c>
      <c r="C5" s="1">
        <v>15.576000000000001</v>
      </c>
      <c r="D5" s="1">
        <v>7.1589999999999998</v>
      </c>
      <c r="E5" s="1">
        <f t="shared" si="0"/>
        <v>8.4170000000000016</v>
      </c>
      <c r="F5" s="4">
        <v>436000000</v>
      </c>
      <c r="G5" s="8">
        <v>436000000</v>
      </c>
      <c r="K5" s="1">
        <v>72</v>
      </c>
      <c r="L5" s="1">
        <v>251</v>
      </c>
      <c r="M5" s="1">
        <v>251</v>
      </c>
      <c r="N5" s="6">
        <v>2.1267693423680427</v>
      </c>
      <c r="O5" s="6"/>
      <c r="P5" s="6"/>
      <c r="Q5" s="7">
        <v>2.1267693423680427</v>
      </c>
      <c r="R5" s="7"/>
      <c r="S5" s="7"/>
      <c r="W5" s="7"/>
    </row>
    <row r="6" spans="1:25" x14ac:dyDescent="0.4">
      <c r="A6" s="1" t="s">
        <v>2</v>
      </c>
      <c r="B6" s="1">
        <v>1993</v>
      </c>
      <c r="C6" s="1">
        <v>16.047999999999998</v>
      </c>
      <c r="D6" s="1">
        <v>6.1609999999999996</v>
      </c>
      <c r="E6" s="1">
        <f t="shared" si="0"/>
        <v>9.8869999999999987</v>
      </c>
      <c r="F6" s="4">
        <v>436000000</v>
      </c>
      <c r="G6" s="8">
        <v>436000000</v>
      </c>
      <c r="K6" s="1">
        <v>72</v>
      </c>
      <c r="L6" s="1">
        <v>256</v>
      </c>
      <c r="M6" s="1">
        <v>260</v>
      </c>
      <c r="N6" s="6">
        <v>2.2113402428424003</v>
      </c>
      <c r="O6" s="6"/>
      <c r="P6" s="6"/>
      <c r="Q6" s="7">
        <v>2.2113402428424003</v>
      </c>
      <c r="R6" s="7"/>
      <c r="S6" s="7"/>
      <c r="W6" s="7"/>
    </row>
    <row r="7" spans="1:25" x14ac:dyDescent="0.4">
      <c r="A7" s="1" t="s">
        <v>2</v>
      </c>
      <c r="B7" s="1">
        <v>1994</v>
      </c>
      <c r="C7" s="1">
        <v>15.77</v>
      </c>
      <c r="D7" s="1">
        <v>6.9340000000000002</v>
      </c>
      <c r="E7" s="1">
        <f t="shared" si="0"/>
        <v>8.8359999999999985</v>
      </c>
      <c r="F7" s="4">
        <v>436000000</v>
      </c>
      <c r="G7" s="8">
        <v>436000000</v>
      </c>
      <c r="K7" s="1">
        <v>52</v>
      </c>
      <c r="L7" s="1">
        <v>248</v>
      </c>
      <c r="M7" s="1">
        <v>252</v>
      </c>
      <c r="N7" s="6">
        <v>2.1492655476971407</v>
      </c>
      <c r="O7" s="6"/>
      <c r="P7" s="6"/>
      <c r="Q7" s="7">
        <v>2.1492655476971407</v>
      </c>
      <c r="R7" s="7"/>
      <c r="S7" s="7"/>
      <c r="W7" s="7"/>
    </row>
    <row r="8" spans="1:25" x14ac:dyDescent="0.4">
      <c r="A8" s="1" t="s">
        <v>2</v>
      </c>
      <c r="B8" s="1">
        <v>1995</v>
      </c>
      <c r="C8" s="1">
        <v>15.384</v>
      </c>
      <c r="D8" s="1">
        <v>6.0119999999999996</v>
      </c>
      <c r="E8" s="1">
        <f t="shared" si="0"/>
        <v>9.3719999999999999</v>
      </c>
      <c r="F8" s="4">
        <v>436000000</v>
      </c>
      <c r="G8" s="8">
        <v>436000000</v>
      </c>
      <c r="K8" s="1">
        <v>90</v>
      </c>
      <c r="L8" s="1">
        <v>247</v>
      </c>
      <c r="M8" s="1">
        <v>271</v>
      </c>
      <c r="N8" s="6">
        <v>2.1827454572921394</v>
      </c>
      <c r="O8" s="6"/>
      <c r="P8" s="6"/>
      <c r="Q8" s="7">
        <v>2.1827454572921394</v>
      </c>
      <c r="R8" s="7"/>
      <c r="S8" s="7"/>
      <c r="W8" s="7"/>
    </row>
    <row r="9" spans="1:25" x14ac:dyDescent="0.4">
      <c r="A9" s="1" t="s">
        <v>2</v>
      </c>
      <c r="B9" s="1">
        <v>1996</v>
      </c>
      <c r="C9" s="1">
        <v>15.484</v>
      </c>
      <c r="D9" s="1">
        <v>7.1470000000000002</v>
      </c>
      <c r="E9" s="1">
        <f t="shared" si="0"/>
        <v>8.3369999999999997</v>
      </c>
      <c r="F9" s="4">
        <v>436000000</v>
      </c>
      <c r="G9" s="8">
        <v>436000000</v>
      </c>
      <c r="K9" s="1">
        <v>52</v>
      </c>
      <c r="L9" s="1">
        <v>254</v>
      </c>
      <c r="M9" s="1">
        <v>254</v>
      </c>
      <c r="N9" s="6">
        <v>2.1079391602627262</v>
      </c>
      <c r="O9" s="6"/>
      <c r="P9" s="6"/>
      <c r="Q9" s="7">
        <v>2.1079391602627262</v>
      </c>
      <c r="R9" s="7"/>
      <c r="S9" s="7"/>
      <c r="W9" s="7"/>
    </row>
    <row r="10" spans="1:25" x14ac:dyDescent="0.4">
      <c r="A10" s="1" t="s">
        <v>2</v>
      </c>
      <c r="B10" s="1">
        <v>1997</v>
      </c>
      <c r="C10" s="1">
        <v>15.683999999999999</v>
      </c>
      <c r="D10" s="1">
        <v>6.6020000000000003</v>
      </c>
      <c r="E10" s="1">
        <f t="shared" si="0"/>
        <v>9.081999999999999</v>
      </c>
      <c r="F10" s="4">
        <v>436000000</v>
      </c>
      <c r="G10" s="8">
        <v>436000000</v>
      </c>
      <c r="K10" s="1">
        <v>79</v>
      </c>
      <c r="L10" s="1">
        <v>246</v>
      </c>
      <c r="M10" s="1">
        <v>262</v>
      </c>
      <c r="N10" s="6">
        <v>2.1526674744797347</v>
      </c>
      <c r="O10" s="6"/>
      <c r="P10" s="6"/>
      <c r="Q10" s="7">
        <v>2.1526674744797347</v>
      </c>
      <c r="R10" s="7"/>
      <c r="S10" s="7"/>
      <c r="W10" s="7"/>
    </row>
    <row r="11" spans="1:25" x14ac:dyDescent="0.4">
      <c r="A11" s="1" t="s">
        <v>2</v>
      </c>
      <c r="B11" s="1">
        <v>1998</v>
      </c>
      <c r="C11" s="1">
        <v>16.07</v>
      </c>
      <c r="D11" s="1">
        <v>6.2930000000000001</v>
      </c>
      <c r="E11" s="1">
        <f t="shared" si="0"/>
        <v>9.777000000000001</v>
      </c>
      <c r="F11" s="4">
        <v>436000000</v>
      </c>
      <c r="G11" s="8">
        <v>436000000</v>
      </c>
      <c r="K11" s="1">
        <v>56</v>
      </c>
      <c r="L11" s="1">
        <v>260</v>
      </c>
      <c r="M11" s="1">
        <v>260</v>
      </c>
      <c r="N11" s="6">
        <v>2.1921763157257073</v>
      </c>
      <c r="O11" s="6"/>
      <c r="P11" s="6"/>
      <c r="Q11" s="7">
        <v>2.1921763157257073</v>
      </c>
      <c r="R11" s="7"/>
      <c r="S11" s="7"/>
      <c r="W11" s="7"/>
    </row>
    <row r="12" spans="1:25" x14ac:dyDescent="0.4">
      <c r="A12" s="1" t="s">
        <v>2</v>
      </c>
      <c r="B12" s="1">
        <v>1999</v>
      </c>
      <c r="C12" s="1">
        <v>15.627000000000001</v>
      </c>
      <c r="D12" s="1">
        <v>5.6760000000000002</v>
      </c>
      <c r="E12" s="1">
        <f t="shared" si="0"/>
        <v>9.9510000000000005</v>
      </c>
      <c r="F12" s="4">
        <v>436000000</v>
      </c>
      <c r="G12" s="8">
        <v>436000000</v>
      </c>
      <c r="K12" s="1">
        <v>89</v>
      </c>
      <c r="L12" s="1">
        <v>255</v>
      </c>
      <c r="M12" s="1">
        <v>259</v>
      </c>
      <c r="N12" s="6">
        <v>2.2239154540312103</v>
      </c>
      <c r="O12" s="6"/>
      <c r="P12" s="6"/>
      <c r="Q12" s="7">
        <v>2.2239154540312103</v>
      </c>
      <c r="R12" s="7"/>
      <c r="S12" s="7"/>
      <c r="W12" s="7"/>
    </row>
    <row r="13" spans="1:25" x14ac:dyDescent="0.4">
      <c r="A13" s="1" t="s">
        <v>2</v>
      </c>
      <c r="B13" s="1">
        <v>2000</v>
      </c>
      <c r="C13" s="1">
        <v>15.497999999999999</v>
      </c>
      <c r="D13" s="1">
        <v>5.9429999999999996</v>
      </c>
      <c r="E13" s="1">
        <f t="shared" si="0"/>
        <v>9.5549999999999997</v>
      </c>
      <c r="F13" s="4">
        <v>436000000</v>
      </c>
      <c r="G13" s="8">
        <v>436000000</v>
      </c>
      <c r="K13" s="1">
        <v>63</v>
      </c>
      <c r="L13" s="1">
        <v>255</v>
      </c>
      <c r="M13" s="1">
        <v>257</v>
      </c>
      <c r="N13" s="6">
        <v>2.2008745892266419</v>
      </c>
      <c r="O13" s="6"/>
      <c r="P13" s="6"/>
      <c r="Q13" s="7">
        <v>2.2008745892266419</v>
      </c>
      <c r="R13" s="7"/>
      <c r="S13" s="7"/>
      <c r="W13" s="7"/>
    </row>
    <row r="14" spans="1:25" x14ac:dyDescent="0.4">
      <c r="A14" s="1" t="s">
        <v>2</v>
      </c>
      <c r="B14" s="1">
        <v>2001</v>
      </c>
      <c r="C14" s="1">
        <v>15.742000000000001</v>
      </c>
      <c r="D14" s="1">
        <v>6.5670000000000002</v>
      </c>
      <c r="E14" s="1">
        <f t="shared" si="0"/>
        <v>9.1750000000000007</v>
      </c>
      <c r="F14" s="4">
        <v>436000000</v>
      </c>
      <c r="G14" s="8">
        <v>436000000</v>
      </c>
      <c r="K14" s="1">
        <v>63</v>
      </c>
      <c r="L14" s="1">
        <v>262</v>
      </c>
      <c r="M14" s="1">
        <v>262</v>
      </c>
      <c r="N14" s="6">
        <v>2.1735770962807495</v>
      </c>
      <c r="O14" s="6"/>
      <c r="P14" s="6"/>
      <c r="Q14" s="7">
        <v>2.1735770962807495</v>
      </c>
      <c r="R14" s="7"/>
      <c r="S14" s="7"/>
      <c r="W14" s="7"/>
    </row>
    <row r="15" spans="1:25" x14ac:dyDescent="0.4">
      <c r="A15" s="1" t="s">
        <v>2</v>
      </c>
      <c r="B15" s="1">
        <v>2002</v>
      </c>
      <c r="C15" s="1">
        <v>15.624000000000001</v>
      </c>
      <c r="D15" s="1">
        <v>5.625</v>
      </c>
      <c r="E15" s="1">
        <f t="shared" si="0"/>
        <v>9.9990000000000006</v>
      </c>
      <c r="F15" s="4">
        <v>436000000</v>
      </c>
      <c r="G15" s="8">
        <v>436000000</v>
      </c>
      <c r="K15" s="1">
        <v>68</v>
      </c>
      <c r="L15" s="1">
        <v>261</v>
      </c>
      <c r="M15" s="1">
        <v>263</v>
      </c>
      <c r="N15" s="6">
        <v>2.2245227179359417</v>
      </c>
      <c r="O15" s="6"/>
      <c r="P15" s="6"/>
      <c r="Q15" s="7">
        <v>2.2245227179359417</v>
      </c>
      <c r="R15" s="7"/>
      <c r="S15" s="7"/>
      <c r="W15" s="7"/>
    </row>
    <row r="16" spans="1:25" x14ac:dyDescent="0.4">
      <c r="A16" s="1" t="s">
        <v>2</v>
      </c>
      <c r="B16" s="1">
        <v>2003</v>
      </c>
      <c r="C16" s="1">
        <v>15.629</v>
      </c>
      <c r="D16" s="1">
        <v>5.9690000000000003</v>
      </c>
      <c r="E16" s="1">
        <f t="shared" si="0"/>
        <v>9.66</v>
      </c>
      <c r="F16" s="4">
        <v>436000000</v>
      </c>
      <c r="G16" s="8">
        <v>436000000</v>
      </c>
      <c r="K16" s="1">
        <v>79</v>
      </c>
      <c r="L16" s="1">
        <v>260</v>
      </c>
      <c r="M16" s="1">
        <v>264</v>
      </c>
      <c r="N16" s="6">
        <v>2.2105633430634231</v>
      </c>
      <c r="O16" s="6"/>
      <c r="P16" s="6"/>
      <c r="Q16" s="7">
        <v>2.2105633430634231</v>
      </c>
      <c r="R16" s="7"/>
      <c r="S16" s="7"/>
      <c r="W16" s="7"/>
    </row>
    <row r="17" spans="1:23" x14ac:dyDescent="0.4">
      <c r="A17" s="1" t="s">
        <v>2</v>
      </c>
      <c r="B17" s="1">
        <v>2004</v>
      </c>
      <c r="C17" s="1">
        <v>15.3</v>
      </c>
      <c r="D17" s="1">
        <v>5.77</v>
      </c>
      <c r="E17" s="1">
        <f t="shared" si="0"/>
        <v>9.5300000000000011</v>
      </c>
      <c r="F17" s="4">
        <v>436000000</v>
      </c>
      <c r="G17" s="8">
        <v>436000000</v>
      </c>
      <c r="K17" s="1">
        <v>70</v>
      </c>
      <c r="L17" s="1">
        <v>262</v>
      </c>
      <c r="M17" s="1">
        <v>264</v>
      </c>
      <c r="N17" s="6">
        <v>2.1989840628894526</v>
      </c>
      <c r="O17" s="6"/>
      <c r="P17" s="6"/>
      <c r="Q17" s="7">
        <v>2.1989840628894526</v>
      </c>
      <c r="R17" s="7"/>
      <c r="S17" s="7"/>
      <c r="W17" s="7"/>
    </row>
    <row r="18" spans="1:23" x14ac:dyDescent="0.4">
      <c r="A18" s="1" t="s">
        <v>2</v>
      </c>
      <c r="B18" s="1">
        <v>2005</v>
      </c>
      <c r="C18" s="1">
        <v>14.993</v>
      </c>
      <c r="D18" s="1">
        <v>5.3140000000000001</v>
      </c>
      <c r="E18" s="1">
        <f t="shared" si="0"/>
        <v>9.6790000000000003</v>
      </c>
      <c r="F18" s="4">
        <v>436000000</v>
      </c>
      <c r="G18" s="8">
        <v>436000000</v>
      </c>
      <c r="K18" s="1">
        <v>68</v>
      </c>
      <c r="L18" s="1">
        <v>263</v>
      </c>
      <c r="M18" s="1">
        <v>269</v>
      </c>
      <c r="N18" s="6">
        <v>2.2066025263906961</v>
      </c>
      <c r="O18" s="6"/>
      <c r="P18" s="6"/>
      <c r="Q18" s="7">
        <v>2.2066025263906961</v>
      </c>
      <c r="R18" s="7"/>
      <c r="S18" s="7"/>
      <c r="W18" s="7"/>
    </row>
    <row r="19" spans="1:23" x14ac:dyDescent="0.4">
      <c r="A19" s="1" t="s">
        <v>2</v>
      </c>
      <c r="B19" s="1">
        <v>2006</v>
      </c>
      <c r="C19" s="1">
        <v>14.776999999999999</v>
      </c>
      <c r="D19" s="1">
        <v>5.7460000000000004</v>
      </c>
      <c r="E19" s="1">
        <f t="shared" si="0"/>
        <v>9.0309999999999988</v>
      </c>
      <c r="F19" s="4">
        <v>436000000</v>
      </c>
      <c r="G19" s="8">
        <v>436000000</v>
      </c>
      <c r="K19" s="1">
        <v>70</v>
      </c>
      <c r="L19" s="1">
        <v>257</v>
      </c>
      <c r="M19" s="1">
        <v>267</v>
      </c>
      <c r="N19" s="6">
        <v>2.1637713813231172</v>
      </c>
      <c r="O19" s="6"/>
      <c r="P19" s="6"/>
      <c r="Q19" s="7">
        <v>2.1637713813231172</v>
      </c>
      <c r="R19" s="7"/>
      <c r="S19" s="7"/>
      <c r="W19" s="7"/>
    </row>
    <row r="20" spans="1:23" x14ac:dyDescent="0.4">
      <c r="A20" s="1" t="s">
        <v>2</v>
      </c>
      <c r="B20" s="1">
        <v>2007</v>
      </c>
      <c r="C20" s="1">
        <v>14.842000000000001</v>
      </c>
      <c r="D20" s="1">
        <v>4.1470000000000002</v>
      </c>
      <c r="E20" s="1">
        <f t="shared" si="0"/>
        <v>10.695</v>
      </c>
      <c r="F20" s="4">
        <v>436000000</v>
      </c>
      <c r="G20" s="8">
        <v>436000000</v>
      </c>
      <c r="K20" s="1">
        <v>69</v>
      </c>
      <c r="L20" s="1">
        <v>257</v>
      </c>
      <c r="M20" s="1">
        <v>291</v>
      </c>
      <c r="N20" s="6">
        <v>2.2461140497166525</v>
      </c>
      <c r="O20" s="6"/>
      <c r="P20" s="6"/>
      <c r="Q20" s="7">
        <v>2.2461140497166525</v>
      </c>
      <c r="R20" s="7"/>
      <c r="S20" s="7"/>
      <c r="W20" s="7"/>
    </row>
    <row r="21" spans="1:23" x14ac:dyDescent="0.4">
      <c r="A21" s="1" t="s">
        <v>2</v>
      </c>
      <c r="B21" s="1">
        <v>2008</v>
      </c>
      <c r="C21" s="1">
        <v>15.353999999999999</v>
      </c>
      <c r="D21" s="1">
        <v>4.548</v>
      </c>
      <c r="E21" s="1">
        <f t="shared" si="0"/>
        <v>10.805999999999999</v>
      </c>
      <c r="F21" s="4">
        <v>436000000</v>
      </c>
      <c r="G21" s="8">
        <v>436000000</v>
      </c>
      <c r="K21" s="1">
        <v>58</v>
      </c>
      <c r="L21" s="1">
        <v>262</v>
      </c>
      <c r="M21" s="1">
        <v>275</v>
      </c>
      <c r="N21" s="6">
        <v>2.2455697353273405</v>
      </c>
      <c r="O21" s="6"/>
      <c r="P21" s="6"/>
      <c r="Q21" s="7">
        <v>2.2455697353273405</v>
      </c>
      <c r="R21" s="7"/>
      <c r="S21" s="7"/>
      <c r="W21" s="7"/>
    </row>
    <row r="22" spans="1:23" x14ac:dyDescent="0.4">
      <c r="A22" s="1" t="s">
        <v>2</v>
      </c>
      <c r="B22" s="1">
        <v>2009</v>
      </c>
      <c r="C22" s="1">
        <v>15.195</v>
      </c>
      <c r="D22" s="1">
        <v>5.0469999999999997</v>
      </c>
      <c r="E22" s="1">
        <f t="shared" si="0"/>
        <v>10.148</v>
      </c>
      <c r="F22" s="4">
        <v>436000000</v>
      </c>
      <c r="G22" s="8">
        <v>436000000</v>
      </c>
      <c r="K22" s="1">
        <v>61</v>
      </c>
      <c r="L22" s="1">
        <v>255</v>
      </c>
      <c r="M22" s="1">
        <v>280</v>
      </c>
      <c r="N22" s="6">
        <v>2.2155759446260097</v>
      </c>
      <c r="O22" s="6"/>
      <c r="P22" s="6"/>
      <c r="Q22" s="7">
        <v>2.2155759446260097</v>
      </c>
      <c r="R22" s="7"/>
      <c r="S22" s="7"/>
      <c r="W22" s="7"/>
    </row>
    <row r="23" spans="1:23" x14ac:dyDescent="0.4">
      <c r="A23" s="1" t="s">
        <v>2</v>
      </c>
      <c r="B23" s="1">
        <v>2010</v>
      </c>
      <c r="C23" s="1">
        <v>15.351000000000001</v>
      </c>
      <c r="D23" s="1">
        <v>4.59</v>
      </c>
      <c r="E23" s="1">
        <f t="shared" si="0"/>
        <v>10.761000000000001</v>
      </c>
      <c r="F23" s="4">
        <v>436000000</v>
      </c>
      <c r="G23" s="8">
        <v>436000000</v>
      </c>
      <c r="K23" s="1">
        <v>90</v>
      </c>
      <c r="L23" s="1">
        <v>262</v>
      </c>
      <c r="M23" s="1">
        <v>278</v>
      </c>
      <c r="N23" s="6">
        <v>2.2546901281506786</v>
      </c>
      <c r="O23" s="6"/>
      <c r="P23" s="6"/>
      <c r="Q23" s="7">
        <v>2.2546901281506786</v>
      </c>
      <c r="R23" s="7"/>
      <c r="S23" s="7"/>
      <c r="W23" s="7"/>
    </row>
    <row r="24" spans="1:23" x14ac:dyDescent="0.4">
      <c r="A24" s="1" t="s">
        <v>2</v>
      </c>
      <c r="B24" s="1">
        <v>2011</v>
      </c>
      <c r="C24" s="1">
        <v>14.704000000000001</v>
      </c>
      <c r="D24" s="1">
        <v>4.3330000000000002</v>
      </c>
      <c r="E24" s="1">
        <f t="shared" si="0"/>
        <v>10.371</v>
      </c>
      <c r="F24" s="4">
        <v>436000000</v>
      </c>
      <c r="G24" s="8">
        <v>436000000</v>
      </c>
      <c r="K24" s="1">
        <v>66</v>
      </c>
      <c r="L24" s="1">
        <v>251</v>
      </c>
      <c r="M24" s="1">
        <v>283</v>
      </c>
      <c r="N24" s="6">
        <v>2.2345807008517986</v>
      </c>
      <c r="O24" s="6"/>
      <c r="P24" s="6"/>
      <c r="Q24" s="7">
        <v>2.2345807008517986</v>
      </c>
      <c r="R24" s="7"/>
      <c r="S24" s="7"/>
      <c r="W24" s="7"/>
    </row>
    <row r="25" spans="1:23" x14ac:dyDescent="0.4">
      <c r="A25" s="1" t="s">
        <v>2</v>
      </c>
      <c r="B25" s="1">
        <v>2012</v>
      </c>
      <c r="C25" s="1">
        <v>15.307</v>
      </c>
      <c r="D25" s="1">
        <v>3.34</v>
      </c>
      <c r="E25" s="1">
        <f t="shared" si="0"/>
        <v>11.967000000000001</v>
      </c>
      <c r="F25" s="4">
        <v>436000000</v>
      </c>
      <c r="G25" s="8">
        <v>436000000</v>
      </c>
      <c r="K25" s="1">
        <v>78</v>
      </c>
      <c r="L25" s="1">
        <v>260</v>
      </c>
      <c r="M25" s="1">
        <v>285</v>
      </c>
      <c r="N25" s="6">
        <v>2.2860889158126407</v>
      </c>
      <c r="O25" s="6"/>
      <c r="P25" s="6"/>
      <c r="Q25" s="7">
        <v>2.2860889158126407</v>
      </c>
      <c r="R25" s="7"/>
      <c r="S25" s="7"/>
      <c r="W25" s="7"/>
    </row>
    <row r="26" spans="1:23" x14ac:dyDescent="0.4">
      <c r="A26" s="1" t="s">
        <v>2</v>
      </c>
      <c r="B26" s="1">
        <v>2013</v>
      </c>
      <c r="C26" s="1">
        <v>15.196</v>
      </c>
      <c r="D26" s="1">
        <v>5.04</v>
      </c>
      <c r="E26" s="1">
        <f t="shared" si="0"/>
        <v>10.155999999999999</v>
      </c>
      <c r="F26" s="4">
        <v>436000000</v>
      </c>
      <c r="G26" s="8">
        <v>436000000</v>
      </c>
      <c r="K26" s="1">
        <v>73</v>
      </c>
      <c r="L26" s="1">
        <v>256</v>
      </c>
      <c r="M26" s="1">
        <v>266</v>
      </c>
      <c r="N26" s="6">
        <v>2.1871174613944642</v>
      </c>
      <c r="O26" s="6"/>
      <c r="P26" s="6"/>
      <c r="Q26" s="7">
        <v>2.1871174613944642</v>
      </c>
      <c r="R26" s="7"/>
      <c r="S26" s="7"/>
      <c r="W26" s="7"/>
    </row>
    <row r="27" spans="1:23" x14ac:dyDescent="0.4">
      <c r="A27" s="1" t="s">
        <v>2</v>
      </c>
      <c r="B27" s="1">
        <v>2014</v>
      </c>
      <c r="C27" s="1">
        <v>15.007</v>
      </c>
      <c r="D27" s="1">
        <v>4.9880000000000004</v>
      </c>
      <c r="E27" s="1">
        <f t="shared" si="0"/>
        <v>10.018999999999998</v>
      </c>
      <c r="F27" s="4">
        <v>436000000</v>
      </c>
      <c r="G27" s="8">
        <v>436000000</v>
      </c>
      <c r="K27" s="1">
        <v>79</v>
      </c>
      <c r="L27" s="1">
        <v>259</v>
      </c>
      <c r="M27" s="1">
        <v>275</v>
      </c>
      <c r="N27" s="6">
        <v>2.1769170428247402</v>
      </c>
      <c r="O27" s="6"/>
      <c r="P27" s="6"/>
      <c r="Q27" s="7">
        <v>2.1769170428247402</v>
      </c>
      <c r="R27" s="7"/>
      <c r="S27" s="7"/>
      <c r="W27" s="7"/>
    </row>
    <row r="28" spans="1:23" x14ac:dyDescent="0.4">
      <c r="A28" s="1" t="s">
        <v>2</v>
      </c>
      <c r="B28" s="1">
        <v>2015</v>
      </c>
      <c r="C28" s="1">
        <v>14.554</v>
      </c>
      <c r="D28" s="1">
        <v>4.3869999999999996</v>
      </c>
      <c r="E28" s="1">
        <f t="shared" si="0"/>
        <v>10.167000000000002</v>
      </c>
      <c r="F28" s="4">
        <v>436000000</v>
      </c>
      <c r="G28" s="8">
        <v>436000000</v>
      </c>
      <c r="K28" s="1">
        <v>53</v>
      </c>
      <c r="L28" s="1">
        <v>251</v>
      </c>
      <c r="M28" s="1">
        <v>278</v>
      </c>
      <c r="N28" s="6">
        <v>2.1757264572502431</v>
      </c>
      <c r="O28" s="6"/>
      <c r="P28" s="6"/>
      <c r="Q28" s="7">
        <v>2.1757264572502431</v>
      </c>
      <c r="R28" s="7"/>
      <c r="S28" s="7"/>
      <c r="W28" s="7"/>
    </row>
    <row r="29" spans="1:23" x14ac:dyDescent="0.4">
      <c r="A29" s="1" t="s">
        <v>2</v>
      </c>
      <c r="B29" s="1">
        <v>2016</v>
      </c>
      <c r="C29" s="1">
        <v>14.566000000000001</v>
      </c>
      <c r="D29" s="1">
        <v>4.1449999999999996</v>
      </c>
      <c r="E29" s="1">
        <f t="shared" si="0"/>
        <v>10.421000000000001</v>
      </c>
      <c r="F29" s="4">
        <v>436000000</v>
      </c>
      <c r="G29" s="8">
        <v>436000000</v>
      </c>
      <c r="K29" s="1">
        <v>82</v>
      </c>
      <c r="L29" s="1">
        <v>251</v>
      </c>
      <c r="M29" s="1">
        <v>287</v>
      </c>
      <c r="N29" s="6">
        <v>2.1880354972477716</v>
      </c>
      <c r="O29" s="6"/>
      <c r="P29" s="6"/>
      <c r="Q29" s="7">
        <v>2.1880354972477716</v>
      </c>
      <c r="R29" s="7"/>
      <c r="S29" s="7"/>
      <c r="W29" s="7"/>
    </row>
    <row r="30" spans="1:23" x14ac:dyDescent="0.4">
      <c r="A30" s="1" t="s">
        <v>2</v>
      </c>
      <c r="B30" s="1">
        <v>2017</v>
      </c>
      <c r="C30" s="1">
        <v>14.449</v>
      </c>
      <c r="D30" s="1">
        <v>4.6349999999999998</v>
      </c>
      <c r="E30" s="1">
        <f t="shared" si="0"/>
        <v>9.8140000000000001</v>
      </c>
      <c r="F30" s="4">
        <v>436000000</v>
      </c>
      <c r="G30" s="8">
        <v>436000000</v>
      </c>
      <c r="K30" s="1">
        <v>64</v>
      </c>
      <c r="L30" s="1">
        <v>256</v>
      </c>
      <c r="M30" s="1">
        <v>275</v>
      </c>
      <c r="N30" s="6">
        <v>2.1458967806326159</v>
      </c>
      <c r="O30" s="6"/>
      <c r="P30" s="6"/>
      <c r="Q30" s="7">
        <v>2.1458967806326159</v>
      </c>
      <c r="R30" s="7"/>
      <c r="S30" s="7"/>
      <c r="W30" s="7"/>
    </row>
    <row r="31" spans="1:23" x14ac:dyDescent="0.4">
      <c r="A31" s="1" t="s">
        <v>2</v>
      </c>
      <c r="B31" s="1">
        <v>2018</v>
      </c>
      <c r="C31" s="1">
        <v>14.499000000000001</v>
      </c>
      <c r="D31" s="1">
        <v>4.63</v>
      </c>
      <c r="E31" s="1">
        <f t="shared" si="0"/>
        <v>9.8689999999999998</v>
      </c>
      <c r="F31" s="4">
        <v>436000000</v>
      </c>
      <c r="G31" s="8">
        <v>436000000</v>
      </c>
      <c r="K31" s="1">
        <v>73</v>
      </c>
      <c r="L31" s="1">
        <v>264</v>
      </c>
      <c r="M31" s="1">
        <v>282</v>
      </c>
      <c r="N31" s="6">
        <v>2.1494334791138572</v>
      </c>
      <c r="O31" s="6"/>
      <c r="P31" s="6"/>
      <c r="Q31" s="7">
        <v>2.1494334791138572</v>
      </c>
      <c r="R31" s="7"/>
      <c r="S31" s="7"/>
      <c r="W31" s="7"/>
    </row>
    <row r="32" spans="1:23" x14ac:dyDescent="0.4">
      <c r="A32" s="1" t="s">
        <v>2</v>
      </c>
      <c r="B32" s="1">
        <v>2019</v>
      </c>
      <c r="C32" s="1">
        <v>14.896000000000001</v>
      </c>
      <c r="D32" s="1">
        <v>4.1660000000000004</v>
      </c>
      <c r="E32" s="1">
        <f t="shared" si="0"/>
        <v>10.73</v>
      </c>
      <c r="F32" s="4">
        <v>436000000</v>
      </c>
      <c r="G32" s="8">
        <v>436000000</v>
      </c>
      <c r="K32" s="1">
        <v>70</v>
      </c>
      <c r="L32" s="1">
        <v>261</v>
      </c>
      <c r="M32" s="1">
        <v>287</v>
      </c>
      <c r="N32" s="6">
        <v>2.1995547723693711</v>
      </c>
      <c r="O32" s="6"/>
      <c r="P32" s="6"/>
      <c r="Q32" s="7">
        <v>2.1995547723693711</v>
      </c>
      <c r="R32" s="7"/>
      <c r="S32" s="7"/>
      <c r="W32" s="7"/>
    </row>
    <row r="33" spans="1:23" x14ac:dyDescent="0.4">
      <c r="A33" s="1" t="s">
        <v>2</v>
      </c>
      <c r="B33" s="1">
        <v>2020</v>
      </c>
      <c r="C33" s="1">
        <v>15.071</v>
      </c>
      <c r="D33" s="1">
        <v>3.7930000000000001</v>
      </c>
      <c r="E33" s="1">
        <f t="shared" si="0"/>
        <v>11.277999999999999</v>
      </c>
      <c r="F33" s="4">
        <v>436000000</v>
      </c>
      <c r="G33" s="8">
        <v>436000000</v>
      </c>
      <c r="K33" s="1">
        <v>64</v>
      </c>
      <c r="L33" s="1">
        <v>257</v>
      </c>
      <c r="M33" s="1">
        <v>292</v>
      </c>
      <c r="N33" s="6">
        <v>2.2368790754521237</v>
      </c>
      <c r="O33" s="6"/>
      <c r="P33" s="6"/>
      <c r="Q33" s="7">
        <v>2.2368790754521237</v>
      </c>
      <c r="R33" s="7"/>
      <c r="S33" s="7"/>
      <c r="W33" s="7"/>
    </row>
    <row r="34" spans="1:23" x14ac:dyDescent="0.4">
      <c r="A34" s="1" t="s">
        <v>2</v>
      </c>
      <c r="B34" s="1">
        <v>2021</v>
      </c>
      <c r="C34" s="1">
        <v>14.865</v>
      </c>
      <c r="D34" s="1">
        <v>4.7569999999999997</v>
      </c>
      <c r="E34" s="1">
        <f t="shared" si="0"/>
        <v>10.108000000000001</v>
      </c>
      <c r="F34" s="4">
        <v>436000000</v>
      </c>
      <c r="G34" s="8">
        <v>436000000</v>
      </c>
      <c r="K34" s="1">
        <v>70</v>
      </c>
      <c r="L34" s="1">
        <v>257</v>
      </c>
      <c r="M34" s="1">
        <v>269</v>
      </c>
      <c r="N34" s="6">
        <v>2.169968721282983</v>
      </c>
      <c r="O34" s="6"/>
      <c r="P34" s="6"/>
      <c r="Q34" s="7">
        <v>2.169968721282983</v>
      </c>
      <c r="R34" s="7"/>
      <c r="S34" s="7"/>
      <c r="W34" s="7"/>
    </row>
    <row r="35" spans="1:23" x14ac:dyDescent="0.4">
      <c r="A35" s="1" t="s">
        <v>2</v>
      </c>
      <c r="B35" s="1">
        <v>2022</v>
      </c>
      <c r="C35" s="1">
        <v>14.94</v>
      </c>
      <c r="D35" s="1">
        <v>4.6920000000000002</v>
      </c>
      <c r="E35" s="1">
        <f t="shared" si="0"/>
        <v>10.247999999999999</v>
      </c>
      <c r="F35" s="4">
        <v>436000000</v>
      </c>
      <c r="G35" s="8">
        <v>436000000</v>
      </c>
      <c r="K35" s="1">
        <v>52</v>
      </c>
      <c r="L35" s="1">
        <v>258</v>
      </c>
      <c r="M35" s="1">
        <v>278</v>
      </c>
      <c r="N35" s="6">
        <v>2.1774762697753465</v>
      </c>
      <c r="O35" s="6"/>
      <c r="P35" s="6"/>
      <c r="Q35" s="7">
        <v>2.1774762697753465</v>
      </c>
      <c r="R35" s="7"/>
      <c r="S35" s="7"/>
      <c r="W35" s="7"/>
    </row>
    <row r="36" spans="1:23" x14ac:dyDescent="0.4">
      <c r="A36" s="1" t="s">
        <v>2</v>
      </c>
      <c r="B36" s="1">
        <v>2023</v>
      </c>
      <c r="C36" s="1">
        <v>14.635999999999999</v>
      </c>
      <c r="D36" s="1">
        <v>4.2439999999999998</v>
      </c>
      <c r="E36" s="1">
        <f t="shared" si="0"/>
        <v>10.391999999999999</v>
      </c>
      <c r="F36" s="4">
        <v>436000000</v>
      </c>
      <c r="G36" s="8">
        <v>436000000</v>
      </c>
      <c r="K36" s="1">
        <v>64</v>
      </c>
      <c r="L36" s="1">
        <v>260</v>
      </c>
      <c r="M36" s="1">
        <v>276</v>
      </c>
      <c r="N36" s="6">
        <v>2.184745763185735</v>
      </c>
      <c r="O36" s="6"/>
      <c r="P36" s="6"/>
      <c r="Q36" s="7">
        <v>2.184745763185735</v>
      </c>
      <c r="R36" s="7"/>
      <c r="S36" s="7"/>
      <c r="W36" s="7"/>
    </row>
    <row r="37" spans="1:23" x14ac:dyDescent="0.4">
      <c r="A37" s="1" t="s">
        <v>2</v>
      </c>
      <c r="B37" s="1">
        <v>2024</v>
      </c>
      <c r="C37" s="1">
        <v>15.041</v>
      </c>
      <c r="D37" s="1">
        <v>4.2450000000000001</v>
      </c>
      <c r="E37" s="1">
        <f t="shared" si="0"/>
        <v>10.795999999999999</v>
      </c>
      <c r="F37" s="4">
        <v>436000000</v>
      </c>
      <c r="G37" s="8">
        <v>436000000</v>
      </c>
      <c r="K37" s="1">
        <v>70</v>
      </c>
      <c r="L37" s="1">
        <v>254</v>
      </c>
      <c r="M37" s="1">
        <v>277</v>
      </c>
      <c r="N37" s="6">
        <v>2.2137178572050797</v>
      </c>
      <c r="O37" s="6"/>
      <c r="P37" s="6"/>
      <c r="Q37" s="7">
        <v>2.2137178572050797</v>
      </c>
      <c r="R37" s="7"/>
      <c r="S37" s="7"/>
      <c r="W37" s="7"/>
    </row>
    <row r="38" spans="1:23" x14ac:dyDescent="0.4">
      <c r="A38" s="1" t="s">
        <v>2</v>
      </c>
      <c r="B38" s="1">
        <v>2025</v>
      </c>
      <c r="C38" s="1">
        <v>14.348000000000001</v>
      </c>
      <c r="D38" s="1">
        <v>4.5430000000000001</v>
      </c>
      <c r="E38" s="1">
        <f t="shared" si="0"/>
        <v>9.8049999999999997</v>
      </c>
      <c r="F38" s="4">
        <v>436000000</v>
      </c>
      <c r="G38" s="8">
        <v>436000000</v>
      </c>
      <c r="K38" s="1">
        <v>80</v>
      </c>
      <c r="L38" s="1">
        <v>251</v>
      </c>
      <c r="M38" s="1">
        <v>278</v>
      </c>
      <c r="N38" s="6">
        <v>2.1594592394573837</v>
      </c>
      <c r="O38" s="6"/>
      <c r="P38" s="6"/>
      <c r="Q38" s="7">
        <v>2.1594592394573837</v>
      </c>
      <c r="R38" s="7"/>
      <c r="S38" s="7"/>
      <c r="W38" s="7"/>
    </row>
    <row r="39" spans="1:23" x14ac:dyDescent="0.4">
      <c r="A39" s="1" t="s">
        <v>2</v>
      </c>
      <c r="B39" s="1">
        <v>2026</v>
      </c>
      <c r="C39" s="1">
        <v>13.177193490000001</v>
      </c>
      <c r="D39" s="1">
        <v>2.4770139370000002</v>
      </c>
      <c r="E39" s="1">
        <f t="shared" si="0"/>
        <v>10.700179553</v>
      </c>
      <c r="F39" s="4">
        <v>461000000</v>
      </c>
      <c r="G39" s="8">
        <v>461000000</v>
      </c>
      <c r="H39" s="1">
        <v>9.6636812229999993</v>
      </c>
      <c r="I39" s="1">
        <v>12.274513170000001</v>
      </c>
      <c r="J39" s="1">
        <v>10.9690972</v>
      </c>
      <c r="K39" s="1">
        <v>69</v>
      </c>
      <c r="L39" s="1">
        <v>257</v>
      </c>
      <c r="M39" s="1">
        <v>278</v>
      </c>
      <c r="N39" s="6">
        <v>2.237392001729567</v>
      </c>
      <c r="O39" s="6">
        <f>N39*H39/J39</f>
        <v>1.9711233004302666</v>
      </c>
      <c r="P39" s="6">
        <f>N39*I39/J39</f>
        <v>2.5036607016010612</v>
      </c>
      <c r="Q39" s="7">
        <v>2.237392001729567</v>
      </c>
      <c r="R39" s="7">
        <f>Q39*H39/J39</f>
        <v>1.9711233004302666</v>
      </c>
      <c r="S39" s="7">
        <f>Q39*I39/J39</f>
        <v>2.5036607016010612</v>
      </c>
      <c r="W39" s="7"/>
    </row>
    <row r="40" spans="1:23" x14ac:dyDescent="0.4">
      <c r="A40" s="1" t="s">
        <v>2</v>
      </c>
      <c r="B40" s="1">
        <v>2027</v>
      </c>
      <c r="C40" s="1">
        <v>13.095518090000001</v>
      </c>
      <c r="D40" s="1">
        <v>2.405230623</v>
      </c>
      <c r="E40" s="1">
        <f t="shared" si="0"/>
        <v>10.690287467000001</v>
      </c>
      <c r="F40" s="4">
        <v>486000000</v>
      </c>
      <c r="G40" s="8">
        <v>486000000</v>
      </c>
      <c r="H40" s="1">
        <v>9.2073502909999991</v>
      </c>
      <c r="I40" s="1">
        <v>12.33056227</v>
      </c>
      <c r="J40" s="1">
        <v>10.768956279999999</v>
      </c>
      <c r="K40" s="1">
        <v>69</v>
      </c>
      <c r="L40" s="1">
        <v>257</v>
      </c>
      <c r="M40" s="1">
        <v>279</v>
      </c>
      <c r="N40" s="6">
        <v>2.3231523400571539</v>
      </c>
      <c r="O40" s="6">
        <f t="shared" ref="O40:O103" si="1">N40*H40/J40</f>
        <v>1.9862720971379564</v>
      </c>
      <c r="P40" s="6">
        <f t="shared" ref="P40:P103" si="2">N40*I40/J40</f>
        <v>2.6600325831920784</v>
      </c>
      <c r="Q40" s="7">
        <v>2.3231523400571539</v>
      </c>
      <c r="R40" s="7">
        <f t="shared" ref="R40:R103" si="3">Q40*H40/J40</f>
        <v>1.9862720971379564</v>
      </c>
      <c r="S40" s="7">
        <f t="shared" ref="S40:S103" si="4">Q40*I40/J40</f>
        <v>2.6600325831920784</v>
      </c>
      <c r="W40" s="7"/>
    </row>
    <row r="41" spans="1:23" x14ac:dyDescent="0.4">
      <c r="A41" s="1" t="s">
        <v>2</v>
      </c>
      <c r="B41" s="1">
        <v>2028</v>
      </c>
      <c r="C41" s="1">
        <v>13.106280740000001</v>
      </c>
      <c r="D41" s="1">
        <v>2.4210424879999999</v>
      </c>
      <c r="E41" s="1">
        <f t="shared" si="0"/>
        <v>10.685238252000001</v>
      </c>
      <c r="F41" s="4">
        <v>511000000</v>
      </c>
      <c r="G41" s="8">
        <v>511000000</v>
      </c>
      <c r="H41" s="1">
        <v>9.2067957170000003</v>
      </c>
      <c r="I41" s="1">
        <v>12.480464919999999</v>
      </c>
      <c r="J41" s="1">
        <v>10.843630320000001</v>
      </c>
      <c r="K41" s="1">
        <v>69</v>
      </c>
      <c r="L41" s="1">
        <v>257</v>
      </c>
      <c r="M41" s="1">
        <v>280</v>
      </c>
      <c r="N41" s="6">
        <v>2.4245702239665503</v>
      </c>
      <c r="O41" s="6">
        <f t="shared" si="1"/>
        <v>2.0585838962445342</v>
      </c>
      <c r="P41" s="6">
        <f t="shared" si="2"/>
        <v>2.7905565510177839</v>
      </c>
      <c r="Q41" s="7">
        <v>2.4245702239665503</v>
      </c>
      <c r="R41" s="7">
        <f t="shared" si="3"/>
        <v>2.0585838962445342</v>
      </c>
      <c r="S41" s="7">
        <f t="shared" si="4"/>
        <v>2.7905565510177839</v>
      </c>
      <c r="W41" s="7"/>
    </row>
    <row r="42" spans="1:23" x14ac:dyDescent="0.4">
      <c r="A42" s="1" t="s">
        <v>2</v>
      </c>
      <c r="B42" s="1">
        <v>2029</v>
      </c>
      <c r="C42" s="1">
        <v>13.09327519</v>
      </c>
      <c r="D42" s="1">
        <v>2.331822072</v>
      </c>
      <c r="E42" s="1">
        <f t="shared" si="0"/>
        <v>10.761453118</v>
      </c>
      <c r="F42" s="4">
        <v>536000000</v>
      </c>
      <c r="G42" s="8">
        <v>536000000</v>
      </c>
      <c r="H42" s="1">
        <v>9.4700237739999995</v>
      </c>
      <c r="I42" s="1">
        <v>12.385769440000001</v>
      </c>
      <c r="J42" s="1">
        <v>10.927896609999999</v>
      </c>
      <c r="K42" s="1">
        <v>69</v>
      </c>
      <c r="L42" s="1">
        <v>257</v>
      </c>
      <c r="M42" s="1">
        <v>281</v>
      </c>
      <c r="N42" s="6">
        <v>2.5404915051583665</v>
      </c>
      <c r="O42" s="6">
        <f t="shared" si="1"/>
        <v>2.2015686833529418</v>
      </c>
      <c r="P42" s="6">
        <f t="shared" si="2"/>
        <v>2.8794143255689257</v>
      </c>
      <c r="Q42" s="7">
        <v>2.5404915051583665</v>
      </c>
      <c r="R42" s="7">
        <f t="shared" si="3"/>
        <v>2.2015686833529418</v>
      </c>
      <c r="S42" s="7">
        <f t="shared" si="4"/>
        <v>2.8794143255689257</v>
      </c>
      <c r="W42" s="7"/>
    </row>
    <row r="43" spans="1:23" x14ac:dyDescent="0.4">
      <c r="A43" s="1" t="s">
        <v>2</v>
      </c>
      <c r="B43" s="1">
        <v>2030</v>
      </c>
      <c r="C43" s="1">
        <v>13.052809079999999</v>
      </c>
      <c r="D43" s="1">
        <v>2.2914407209999998</v>
      </c>
      <c r="E43" s="1">
        <f t="shared" si="0"/>
        <v>10.761368358999999</v>
      </c>
      <c r="F43" s="4">
        <v>561000000</v>
      </c>
      <c r="G43" s="8">
        <v>561000000</v>
      </c>
      <c r="H43" s="1">
        <v>9.4327024769999994</v>
      </c>
      <c r="I43" s="1">
        <v>11.928635939999999</v>
      </c>
      <c r="J43" s="1">
        <v>10.68066921</v>
      </c>
      <c r="K43" s="1">
        <v>69</v>
      </c>
      <c r="L43" s="1">
        <v>257</v>
      </c>
      <c r="M43" s="1">
        <v>281</v>
      </c>
      <c r="N43" s="6">
        <v>2.6541402269465428</v>
      </c>
      <c r="O43" s="6">
        <f t="shared" si="1"/>
        <v>2.3440212032391927</v>
      </c>
      <c r="P43" s="6">
        <f t="shared" si="2"/>
        <v>2.9642592499083946</v>
      </c>
      <c r="Q43" s="7">
        <v>2.6541402269465428</v>
      </c>
      <c r="R43" s="7">
        <f t="shared" si="3"/>
        <v>2.3440212032391927</v>
      </c>
      <c r="S43" s="7">
        <f t="shared" si="4"/>
        <v>2.9642592499083946</v>
      </c>
      <c r="W43" s="7"/>
    </row>
    <row r="44" spans="1:23" x14ac:dyDescent="0.4">
      <c r="A44" s="1" t="s">
        <v>2</v>
      </c>
      <c r="B44" s="1">
        <v>2031</v>
      </c>
      <c r="C44" s="1">
        <v>13.02069835</v>
      </c>
      <c r="D44" s="1">
        <v>2.2036307449999999</v>
      </c>
      <c r="E44" s="1">
        <f t="shared" si="0"/>
        <v>10.817067605</v>
      </c>
      <c r="F44" s="4">
        <v>586000000</v>
      </c>
      <c r="G44" s="8">
        <v>586000000</v>
      </c>
      <c r="H44" s="1">
        <v>9.5029805019999998</v>
      </c>
      <c r="I44" s="1">
        <v>12.009379900000001</v>
      </c>
      <c r="J44" s="1">
        <v>10.756180199999999</v>
      </c>
      <c r="K44" s="1">
        <v>69</v>
      </c>
      <c r="L44" s="1">
        <v>257</v>
      </c>
      <c r="M44" s="1">
        <v>282</v>
      </c>
      <c r="N44" s="6">
        <v>2.775963915188207</v>
      </c>
      <c r="O44" s="6">
        <f t="shared" si="1"/>
        <v>2.4525370967928852</v>
      </c>
      <c r="P44" s="6">
        <f t="shared" si="2"/>
        <v>3.0993907340996913</v>
      </c>
      <c r="Q44" s="7">
        <v>2.775963915188207</v>
      </c>
      <c r="R44" s="7">
        <f t="shared" si="3"/>
        <v>2.4525370967928852</v>
      </c>
      <c r="S44" s="7">
        <f t="shared" si="4"/>
        <v>3.0993907340996913</v>
      </c>
      <c r="W44" s="7"/>
    </row>
    <row r="45" spans="1:23" x14ac:dyDescent="0.4">
      <c r="A45" s="1" t="s">
        <v>2</v>
      </c>
      <c r="B45" s="1">
        <v>2032</v>
      </c>
      <c r="C45" s="1">
        <v>13.0048008</v>
      </c>
      <c r="D45" s="1">
        <v>2.265306673</v>
      </c>
      <c r="E45" s="1">
        <f t="shared" si="0"/>
        <v>10.739494127</v>
      </c>
      <c r="F45" s="4">
        <v>611000000</v>
      </c>
      <c r="G45" s="8">
        <v>611000000</v>
      </c>
      <c r="H45" s="1">
        <v>9.6112177229999993</v>
      </c>
      <c r="I45" s="1">
        <v>12.388023029999999</v>
      </c>
      <c r="J45" s="1">
        <v>10.99962038</v>
      </c>
      <c r="K45" s="1">
        <v>69</v>
      </c>
      <c r="L45" s="1">
        <v>257</v>
      </c>
      <c r="M45" s="1">
        <v>283</v>
      </c>
      <c r="N45" s="6">
        <v>2.8824961624564822</v>
      </c>
      <c r="O45" s="6">
        <f t="shared" si="1"/>
        <v>2.5186594851449979</v>
      </c>
      <c r="P45" s="6">
        <f t="shared" si="2"/>
        <v>3.2463328379335876</v>
      </c>
      <c r="Q45" s="7">
        <v>2.8824961624564822</v>
      </c>
      <c r="R45" s="7">
        <f t="shared" si="3"/>
        <v>2.5186594851449979</v>
      </c>
      <c r="S45" s="7">
        <f t="shared" si="4"/>
        <v>3.2463328379335876</v>
      </c>
      <c r="W45" s="7"/>
    </row>
    <row r="46" spans="1:23" x14ac:dyDescent="0.4">
      <c r="A46" s="1" t="s">
        <v>2</v>
      </c>
      <c r="B46" s="1">
        <v>2033</v>
      </c>
      <c r="C46" s="1">
        <v>13.03306006</v>
      </c>
      <c r="D46" s="1">
        <v>2.1521601530000001</v>
      </c>
      <c r="E46" s="1">
        <f t="shared" si="0"/>
        <v>10.880899907</v>
      </c>
      <c r="F46" s="4">
        <v>636000000</v>
      </c>
      <c r="G46" s="8">
        <v>636000000</v>
      </c>
      <c r="H46" s="1">
        <v>9.7197683930000007</v>
      </c>
      <c r="I46" s="1">
        <v>12.862896770000001</v>
      </c>
      <c r="J46" s="1">
        <v>11.291332580000001</v>
      </c>
      <c r="K46" s="1">
        <v>69</v>
      </c>
      <c r="L46" s="1">
        <v>257</v>
      </c>
      <c r="M46" s="1">
        <v>284</v>
      </c>
      <c r="N46" s="6">
        <v>3.0168900775853964</v>
      </c>
      <c r="O46" s="6">
        <f t="shared" si="1"/>
        <v>2.5969895593377212</v>
      </c>
      <c r="P46" s="6">
        <f t="shared" si="2"/>
        <v>3.4367905966346304</v>
      </c>
      <c r="Q46" s="7">
        <v>3.0168900775853964</v>
      </c>
      <c r="R46" s="7">
        <f t="shared" si="3"/>
        <v>2.5969895593377212</v>
      </c>
      <c r="S46" s="7">
        <f t="shared" si="4"/>
        <v>3.4367905966346304</v>
      </c>
      <c r="W46" s="7"/>
    </row>
    <row r="47" spans="1:23" x14ac:dyDescent="0.4">
      <c r="A47" s="1" t="s">
        <v>2</v>
      </c>
      <c r="B47" s="1">
        <v>2034</v>
      </c>
      <c r="C47" s="1">
        <v>12.989940750000001</v>
      </c>
      <c r="D47" s="1">
        <v>2.1212810740000001</v>
      </c>
      <c r="E47" s="1">
        <f t="shared" si="0"/>
        <v>10.868659676</v>
      </c>
      <c r="F47" s="4">
        <v>654000000</v>
      </c>
      <c r="G47" s="8">
        <v>661000000</v>
      </c>
      <c r="H47" s="1">
        <v>9.6666675430000009</v>
      </c>
      <c r="I47" s="1">
        <v>12.2625896</v>
      </c>
      <c r="J47" s="1">
        <v>10.96462857</v>
      </c>
      <c r="K47" s="1">
        <v>69</v>
      </c>
      <c r="L47" s="1">
        <v>257</v>
      </c>
      <c r="M47" s="1">
        <v>284</v>
      </c>
      <c r="N47" s="6">
        <v>3.1226048755713012</v>
      </c>
      <c r="O47" s="6">
        <f t="shared" si="1"/>
        <v>2.7529599390979325</v>
      </c>
      <c r="P47" s="6">
        <f t="shared" si="2"/>
        <v>3.4922498128990362</v>
      </c>
      <c r="Q47" s="7">
        <v>3.133185721743077</v>
      </c>
      <c r="R47" s="7">
        <f t="shared" si="3"/>
        <v>2.7622882552933423</v>
      </c>
      <c r="S47" s="7">
        <f t="shared" si="4"/>
        <v>3.5040831890500734</v>
      </c>
      <c r="W47" s="7"/>
    </row>
    <row r="48" spans="1:23" x14ac:dyDescent="0.4">
      <c r="A48" s="1" t="s">
        <v>2</v>
      </c>
      <c r="B48" s="1">
        <v>2035</v>
      </c>
      <c r="C48" s="1">
        <v>12.981190870000001</v>
      </c>
      <c r="D48" s="1">
        <v>2.0026261999999999</v>
      </c>
      <c r="E48" s="1">
        <f t="shared" si="0"/>
        <v>10.978564670000001</v>
      </c>
      <c r="F48" s="4">
        <v>654000000</v>
      </c>
      <c r="G48" s="8">
        <v>686000000</v>
      </c>
      <c r="H48" s="1">
        <v>9.6518972329999997</v>
      </c>
      <c r="I48" s="1">
        <v>12.80487449</v>
      </c>
      <c r="J48" s="1">
        <v>11.228385859999999</v>
      </c>
      <c r="K48" s="1">
        <v>69</v>
      </c>
      <c r="L48" s="1">
        <v>257</v>
      </c>
      <c r="M48" s="1">
        <v>285</v>
      </c>
      <c r="N48" s="6">
        <v>3.2081288752525805</v>
      </c>
      <c r="O48" s="6">
        <f t="shared" si="1"/>
        <v>2.7577009376268249</v>
      </c>
      <c r="P48" s="6">
        <f t="shared" si="2"/>
        <v>3.6585568137354838</v>
      </c>
      <c r="Q48" s="7">
        <v>3.2693080136156234</v>
      </c>
      <c r="R48" s="7">
        <f t="shared" si="3"/>
        <v>2.8102903982711336</v>
      </c>
      <c r="S48" s="7">
        <f t="shared" si="4"/>
        <v>3.7283256298336074</v>
      </c>
      <c r="W48" s="7"/>
    </row>
    <row r="49" spans="1:23" x14ac:dyDescent="0.4">
      <c r="A49" s="1" t="s">
        <v>2</v>
      </c>
      <c r="B49" s="1">
        <v>2036</v>
      </c>
      <c r="C49" s="1">
        <v>12.976682</v>
      </c>
      <c r="D49" s="1">
        <v>1.983655054</v>
      </c>
      <c r="E49" s="1">
        <f t="shared" si="0"/>
        <v>10.993026946000001</v>
      </c>
      <c r="F49" s="4">
        <v>654000000</v>
      </c>
      <c r="G49" s="8">
        <v>711000000</v>
      </c>
      <c r="H49" s="1">
        <v>9.6269931890000002</v>
      </c>
      <c r="I49" s="1">
        <v>12.59939896</v>
      </c>
      <c r="J49" s="1">
        <v>11.11319608</v>
      </c>
      <c r="K49" s="1">
        <v>69</v>
      </c>
      <c r="L49" s="1">
        <v>257</v>
      </c>
      <c r="M49" s="1">
        <v>286</v>
      </c>
      <c r="N49" s="6">
        <v>3.2422763988358239</v>
      </c>
      <c r="O49" s="6">
        <f t="shared" si="1"/>
        <v>2.8086765124770414</v>
      </c>
      <c r="P49" s="6">
        <f t="shared" si="2"/>
        <v>3.6758762819853557</v>
      </c>
      <c r="Q49" s="7">
        <v>3.3918256713922936</v>
      </c>
      <c r="R49" s="7">
        <f t="shared" si="3"/>
        <v>2.9382260874109374</v>
      </c>
      <c r="S49" s="7">
        <f t="shared" si="4"/>
        <v>3.8454252520163728</v>
      </c>
      <c r="W49" s="7"/>
    </row>
    <row r="50" spans="1:23" x14ac:dyDescent="0.4">
      <c r="A50" s="1" t="s">
        <v>2</v>
      </c>
      <c r="B50" s="1">
        <v>2037</v>
      </c>
      <c r="C50" s="1">
        <v>12.920071910000001</v>
      </c>
      <c r="D50" s="1">
        <v>1.9464360650000001</v>
      </c>
      <c r="E50" s="1">
        <f t="shared" si="0"/>
        <v>10.973635845</v>
      </c>
      <c r="F50" s="4">
        <v>654000000</v>
      </c>
      <c r="G50" s="8">
        <v>736000000</v>
      </c>
      <c r="H50" s="1">
        <v>9.8444347210000007</v>
      </c>
      <c r="I50" s="1">
        <v>12.595397670000001</v>
      </c>
      <c r="J50" s="1">
        <v>11.2199162</v>
      </c>
      <c r="K50" s="1">
        <v>69</v>
      </c>
      <c r="L50" s="1">
        <v>257</v>
      </c>
      <c r="M50" s="1">
        <v>287</v>
      </c>
      <c r="N50" s="6">
        <v>3.2526948683503067</v>
      </c>
      <c r="O50" s="6">
        <f t="shared" si="1"/>
        <v>2.853937741425046</v>
      </c>
      <c r="P50" s="6">
        <f t="shared" si="2"/>
        <v>3.6514519926664351</v>
      </c>
      <c r="Q50" s="7">
        <v>3.5071105309577639</v>
      </c>
      <c r="R50" s="7">
        <f t="shared" si="3"/>
        <v>3.077163863429333</v>
      </c>
      <c r="S50" s="7">
        <f t="shared" si="4"/>
        <v>3.9370571956729838</v>
      </c>
      <c r="W50" s="7"/>
    </row>
    <row r="51" spans="1:23" x14ac:dyDescent="0.4">
      <c r="A51" s="1" t="s">
        <v>2</v>
      </c>
      <c r="B51" s="1">
        <v>2038</v>
      </c>
      <c r="C51" s="1">
        <v>12.88840856</v>
      </c>
      <c r="D51" s="1">
        <v>1.8423096450000001</v>
      </c>
      <c r="E51" s="1">
        <f t="shared" si="0"/>
        <v>11.046098915</v>
      </c>
      <c r="F51" s="4">
        <v>654000000</v>
      </c>
      <c r="G51" s="8">
        <v>761000000</v>
      </c>
      <c r="H51" s="1">
        <v>9.8875901370000001</v>
      </c>
      <c r="I51" s="1">
        <v>12.667047820000001</v>
      </c>
      <c r="J51" s="1">
        <v>11.27731898</v>
      </c>
      <c r="K51" s="1">
        <v>69</v>
      </c>
      <c r="L51" s="1">
        <v>257</v>
      </c>
      <c r="M51" s="1">
        <v>287</v>
      </c>
      <c r="N51" s="6">
        <v>3.2697998247685214</v>
      </c>
      <c r="O51" s="6">
        <f t="shared" si="1"/>
        <v>2.8668551944555851</v>
      </c>
      <c r="P51" s="6">
        <f t="shared" si="2"/>
        <v>3.6727444542116232</v>
      </c>
      <c r="Q51" s="7">
        <v>3.6395904905461438</v>
      </c>
      <c r="R51" s="7">
        <f t="shared" si="3"/>
        <v>3.1910757424583411</v>
      </c>
      <c r="S51" s="7">
        <f t="shared" si="4"/>
        <v>4.0881052376657401</v>
      </c>
      <c r="W51" s="7"/>
    </row>
    <row r="52" spans="1:23" x14ac:dyDescent="0.4">
      <c r="A52" s="1" t="s">
        <v>2</v>
      </c>
      <c r="B52" s="1">
        <v>2039</v>
      </c>
      <c r="C52" s="1">
        <v>12.818498979999999</v>
      </c>
      <c r="D52" s="1">
        <v>1.818409309</v>
      </c>
      <c r="E52" s="1">
        <f t="shared" si="0"/>
        <v>11.000089671</v>
      </c>
      <c r="F52" s="4">
        <v>654000000</v>
      </c>
      <c r="G52" s="8">
        <v>786000000</v>
      </c>
      <c r="H52" s="1">
        <v>9.7556750169999997</v>
      </c>
      <c r="I52" s="1">
        <v>12.566447439999999</v>
      </c>
      <c r="J52" s="1">
        <v>11.16106123</v>
      </c>
      <c r="K52" s="1">
        <v>69</v>
      </c>
      <c r="L52" s="1">
        <v>257</v>
      </c>
      <c r="M52" s="1">
        <v>288</v>
      </c>
      <c r="N52" s="6">
        <v>3.2654367816880248</v>
      </c>
      <c r="O52" s="6">
        <f t="shared" si="1"/>
        <v>2.8542572587164945</v>
      </c>
      <c r="P52" s="6">
        <f t="shared" si="2"/>
        <v>3.6766163037818327</v>
      </c>
      <c r="Q52" s="7">
        <v>3.7501312172014685</v>
      </c>
      <c r="R52" s="7">
        <f t="shared" si="3"/>
        <v>3.2779196056900552</v>
      </c>
      <c r="S52" s="7">
        <f t="shared" si="4"/>
        <v>4.2223428277048773</v>
      </c>
      <c r="W52" s="7"/>
    </row>
    <row r="53" spans="1:23" x14ac:dyDescent="0.4">
      <c r="A53" s="1" t="s">
        <v>2</v>
      </c>
      <c r="B53" s="1">
        <v>2040</v>
      </c>
      <c r="C53" s="1">
        <v>12.800066640000001</v>
      </c>
      <c r="D53" s="1">
        <v>1.806144135</v>
      </c>
      <c r="E53" s="1">
        <f t="shared" si="0"/>
        <v>10.993922505</v>
      </c>
      <c r="F53" s="4">
        <v>654000000</v>
      </c>
      <c r="G53" s="8">
        <v>811000000</v>
      </c>
      <c r="H53" s="1">
        <v>9.9549388059999995</v>
      </c>
      <c r="I53" s="1">
        <v>12.53978367</v>
      </c>
      <c r="J53" s="1">
        <v>11.24736124</v>
      </c>
      <c r="K53" s="1">
        <v>69</v>
      </c>
      <c r="L53" s="1">
        <v>257</v>
      </c>
      <c r="M53" s="1">
        <v>289</v>
      </c>
      <c r="N53" s="6">
        <v>3.2642306373424472</v>
      </c>
      <c r="O53" s="6">
        <f t="shared" si="1"/>
        <v>2.8891413327998023</v>
      </c>
      <c r="P53" s="6">
        <f t="shared" si="2"/>
        <v>3.6393199407242043</v>
      </c>
      <c r="Q53" s="7">
        <v>3.8665243420658464</v>
      </c>
      <c r="R53" s="7">
        <f t="shared" si="3"/>
        <v>3.4222261022688474</v>
      </c>
      <c r="S53" s="7">
        <f t="shared" si="4"/>
        <v>4.3108225804877582</v>
      </c>
      <c r="W53" s="7"/>
    </row>
    <row r="54" spans="1:23" x14ac:dyDescent="0.4">
      <c r="A54" s="1" t="s">
        <v>2</v>
      </c>
      <c r="B54" s="1">
        <v>2041</v>
      </c>
      <c r="C54" s="1">
        <v>12.775077789999999</v>
      </c>
      <c r="D54" s="1">
        <v>1.7681255499999999</v>
      </c>
      <c r="E54" s="1">
        <f t="shared" si="0"/>
        <v>11.006952239999999</v>
      </c>
      <c r="F54" s="4">
        <v>654000000</v>
      </c>
      <c r="G54" s="8">
        <v>836000000</v>
      </c>
      <c r="H54" s="1">
        <v>9.9935557050000003</v>
      </c>
      <c r="I54" s="1">
        <v>12.629759890000001</v>
      </c>
      <c r="J54" s="1">
        <v>11.311657800000001</v>
      </c>
      <c r="K54" s="1">
        <v>69</v>
      </c>
      <c r="L54" s="1">
        <v>257</v>
      </c>
      <c r="M54" s="1">
        <v>290</v>
      </c>
      <c r="N54" s="6">
        <v>3.2652877126502142</v>
      </c>
      <c r="O54" s="6">
        <f t="shared" si="1"/>
        <v>2.884796837579541</v>
      </c>
      <c r="P54" s="6">
        <f t="shared" si="2"/>
        <v>3.6457785862775585</v>
      </c>
      <c r="Q54" s="7">
        <v>3.9870192439099386</v>
      </c>
      <c r="R54" s="7">
        <f t="shared" si="3"/>
        <v>3.522427889475312</v>
      </c>
      <c r="S54" s="7">
        <f t="shared" si="4"/>
        <v>4.4516105965822153</v>
      </c>
      <c r="W54" s="7"/>
    </row>
    <row r="55" spans="1:23" x14ac:dyDescent="0.4">
      <c r="A55" s="1" t="s">
        <v>2</v>
      </c>
      <c r="B55" s="1">
        <v>2042</v>
      </c>
      <c r="C55" s="1">
        <v>12.734628409999999</v>
      </c>
      <c r="D55" s="1">
        <v>1.6434027840000001</v>
      </c>
      <c r="E55" s="1">
        <f t="shared" si="0"/>
        <v>11.091225626</v>
      </c>
      <c r="F55" s="4">
        <v>654000000</v>
      </c>
      <c r="G55" s="8">
        <v>861000000</v>
      </c>
      <c r="H55" s="1">
        <v>9.9321398290000005</v>
      </c>
      <c r="I55" s="1">
        <v>12.48620292</v>
      </c>
      <c r="J55" s="1">
        <v>11.209171380000001</v>
      </c>
      <c r="K55" s="1">
        <v>69</v>
      </c>
      <c r="L55" s="1">
        <v>257</v>
      </c>
      <c r="M55" s="1">
        <v>290</v>
      </c>
      <c r="N55" s="6">
        <v>3.2782110878778994</v>
      </c>
      <c r="O55" s="6">
        <f t="shared" si="1"/>
        <v>2.9047330806161251</v>
      </c>
      <c r="P55" s="6">
        <f t="shared" si="2"/>
        <v>3.6516890919226359</v>
      </c>
      <c r="Q55" s="7">
        <v>4.125953915830495</v>
      </c>
      <c r="R55" s="7">
        <f t="shared" si="3"/>
        <v>3.6558947874734491</v>
      </c>
      <c r="S55" s="7">
        <f t="shared" si="4"/>
        <v>4.5960130401385797</v>
      </c>
      <c r="W55" s="7"/>
    </row>
    <row r="56" spans="1:23" x14ac:dyDescent="0.4">
      <c r="A56" s="1" t="s">
        <v>2</v>
      </c>
      <c r="B56" s="1">
        <v>2043</v>
      </c>
      <c r="C56" s="1">
        <v>12.7216006</v>
      </c>
      <c r="D56" s="1">
        <v>1.6491916280000001</v>
      </c>
      <c r="E56" s="1">
        <f t="shared" si="0"/>
        <v>11.072408972</v>
      </c>
      <c r="F56" s="4">
        <v>654000000</v>
      </c>
      <c r="G56" s="8">
        <v>872000000</v>
      </c>
      <c r="H56" s="1">
        <v>9.9861381940000005</v>
      </c>
      <c r="I56" s="1">
        <v>12.47277688</v>
      </c>
      <c r="J56" s="1">
        <v>11.22945754</v>
      </c>
      <c r="K56" s="1">
        <v>69</v>
      </c>
      <c r="L56" s="1">
        <v>257</v>
      </c>
      <c r="M56" s="1">
        <v>291</v>
      </c>
      <c r="N56" s="6">
        <v>3.2758070034655682</v>
      </c>
      <c r="O56" s="6">
        <f t="shared" si="1"/>
        <v>2.9131114585861106</v>
      </c>
      <c r="P56" s="6">
        <f t="shared" si="2"/>
        <v>3.6385025465947325</v>
      </c>
      <c r="Q56" s="7">
        <v>4.2203206423420312</v>
      </c>
      <c r="R56" s="7">
        <f t="shared" si="3"/>
        <v>3.7530490682471891</v>
      </c>
      <c r="S56" s="7">
        <f t="shared" si="4"/>
        <v>4.687592214181918</v>
      </c>
      <c r="W56" s="7"/>
    </row>
    <row r="57" spans="1:23" x14ac:dyDescent="0.4">
      <c r="A57" s="1" t="s">
        <v>2</v>
      </c>
      <c r="B57" s="1">
        <v>2044</v>
      </c>
      <c r="C57" s="1">
        <v>12.67501989</v>
      </c>
      <c r="D57" s="1">
        <v>1.664858451</v>
      </c>
      <c r="E57" s="1">
        <f t="shared" si="0"/>
        <v>11.010161438999999</v>
      </c>
      <c r="F57" s="4">
        <v>654000000</v>
      </c>
      <c r="G57" s="8">
        <v>872000000</v>
      </c>
      <c r="H57" s="1">
        <v>9.9317729739999994</v>
      </c>
      <c r="I57" s="1">
        <v>12.6830246</v>
      </c>
      <c r="J57" s="1">
        <v>11.307398790000001</v>
      </c>
      <c r="K57" s="1">
        <v>69</v>
      </c>
      <c r="L57" s="1">
        <v>257</v>
      </c>
      <c r="M57" s="1">
        <v>292</v>
      </c>
      <c r="N57" s="6">
        <v>3.2644008286680801</v>
      </c>
      <c r="O57" s="6">
        <f t="shared" si="1"/>
        <v>2.867263154735594</v>
      </c>
      <c r="P57" s="6">
        <f t="shared" si="2"/>
        <v>3.6615385008683896</v>
      </c>
      <c r="Q57" s="7">
        <v>4.2585225279087808</v>
      </c>
      <c r="R57" s="7">
        <f t="shared" si="3"/>
        <v>3.7404428496197561</v>
      </c>
      <c r="S57" s="7">
        <f t="shared" si="4"/>
        <v>4.776602203938122</v>
      </c>
      <c r="W57" s="7"/>
    </row>
    <row r="58" spans="1:23" x14ac:dyDescent="0.4">
      <c r="A58" s="1" t="s">
        <v>2</v>
      </c>
      <c r="B58" s="1">
        <v>2045</v>
      </c>
      <c r="C58" s="1">
        <v>12.74292741</v>
      </c>
      <c r="D58" s="1">
        <v>1.6265772009999999</v>
      </c>
      <c r="E58" s="1">
        <f t="shared" si="0"/>
        <v>11.116350209</v>
      </c>
      <c r="F58" s="4">
        <v>654000000</v>
      </c>
      <c r="G58" s="8">
        <v>872000000</v>
      </c>
      <c r="H58" s="1">
        <v>9.9682568119999999</v>
      </c>
      <c r="I58" s="1">
        <v>12.920414900000001</v>
      </c>
      <c r="J58" s="1">
        <v>11.444335860000001</v>
      </c>
      <c r="K58" s="1">
        <v>69</v>
      </c>
      <c r="L58" s="1">
        <v>257</v>
      </c>
      <c r="M58" s="1">
        <v>293</v>
      </c>
      <c r="N58" s="6">
        <v>3.2798826844474269</v>
      </c>
      <c r="O58" s="6">
        <f t="shared" si="1"/>
        <v>2.856846680468176</v>
      </c>
      <c r="P58" s="6">
        <f t="shared" si="2"/>
        <v>3.7029186861339225</v>
      </c>
      <c r="Q58" s="7">
        <v>4.3095214131574124</v>
      </c>
      <c r="R58" s="7">
        <f t="shared" si="3"/>
        <v>3.753683630809332</v>
      </c>
      <c r="S58" s="7">
        <f t="shared" si="4"/>
        <v>4.8653591924929831</v>
      </c>
      <c r="W58" s="7"/>
    </row>
    <row r="59" spans="1:23" x14ac:dyDescent="0.4">
      <c r="A59" s="1" t="s">
        <v>2</v>
      </c>
      <c r="B59" s="1">
        <v>2046</v>
      </c>
      <c r="C59" s="1">
        <v>12.68998549</v>
      </c>
      <c r="D59" s="1">
        <v>1.606991812</v>
      </c>
      <c r="E59" s="1">
        <f t="shared" si="0"/>
        <v>11.082993677999999</v>
      </c>
      <c r="F59" s="4">
        <v>654000000</v>
      </c>
      <c r="G59" s="8">
        <v>872000000</v>
      </c>
      <c r="H59" s="1">
        <v>9.8040540860000007</v>
      </c>
      <c r="I59" s="1">
        <v>12.87971063</v>
      </c>
      <c r="J59" s="1">
        <v>11.34188236</v>
      </c>
      <c r="K59" s="1">
        <v>69</v>
      </c>
      <c r="L59" s="1">
        <v>257</v>
      </c>
      <c r="M59" s="1">
        <v>294</v>
      </c>
      <c r="N59" s="6">
        <v>3.2738985119474049</v>
      </c>
      <c r="O59" s="6">
        <f t="shared" si="1"/>
        <v>2.8299956801180643</v>
      </c>
      <c r="P59" s="6">
        <f t="shared" si="2"/>
        <v>3.7178013426221233</v>
      </c>
      <c r="Q59" s="7">
        <v>4.3114224273578543</v>
      </c>
      <c r="R59" s="7">
        <f t="shared" si="3"/>
        <v>3.7268433337382825</v>
      </c>
      <c r="S59" s="7">
        <f t="shared" si="4"/>
        <v>4.8960015194568953</v>
      </c>
      <c r="W59" s="7"/>
    </row>
    <row r="60" spans="1:23" x14ac:dyDescent="0.4">
      <c r="A60" s="1" t="s">
        <v>2</v>
      </c>
      <c r="B60" s="1">
        <v>2047</v>
      </c>
      <c r="C60" s="1">
        <v>12.67562148</v>
      </c>
      <c r="D60" s="1">
        <v>1.5378826590000001</v>
      </c>
      <c r="E60" s="1">
        <f t="shared" si="0"/>
        <v>11.137738820999999</v>
      </c>
      <c r="F60" s="4">
        <v>654000000</v>
      </c>
      <c r="G60" s="8">
        <v>872000000</v>
      </c>
      <c r="H60" s="1">
        <v>9.5241589569999991</v>
      </c>
      <c r="I60" s="1">
        <v>12.77822272</v>
      </c>
      <c r="J60" s="1">
        <v>11.15119084</v>
      </c>
      <c r="K60" s="1">
        <v>69</v>
      </c>
      <c r="L60" s="1">
        <v>257</v>
      </c>
      <c r="M60" s="1">
        <v>294</v>
      </c>
      <c r="N60" s="6">
        <v>3.2814226017807302</v>
      </c>
      <c r="O60" s="6">
        <f t="shared" si="1"/>
        <v>2.8026415216881162</v>
      </c>
      <c r="P60" s="6">
        <f t="shared" si="2"/>
        <v>3.7602036809905446</v>
      </c>
      <c r="Q60" s="7">
        <v>4.3293631424150654</v>
      </c>
      <c r="R60" s="7">
        <f t="shared" si="3"/>
        <v>3.6976806641162376</v>
      </c>
      <c r="S60" s="7">
        <f t="shared" si="4"/>
        <v>4.9610456195491661</v>
      </c>
      <c r="W60" s="7"/>
    </row>
    <row r="61" spans="1:23" x14ac:dyDescent="0.4">
      <c r="A61" s="1" t="s">
        <v>2</v>
      </c>
      <c r="B61" s="1">
        <v>2048</v>
      </c>
      <c r="C61" s="1">
        <v>12.671030930000001</v>
      </c>
      <c r="D61" s="1">
        <v>1.5658354480000001</v>
      </c>
      <c r="E61" s="1">
        <f t="shared" si="0"/>
        <v>11.105195482000001</v>
      </c>
      <c r="F61" s="4">
        <v>654000000</v>
      </c>
      <c r="G61" s="8">
        <v>872000000</v>
      </c>
      <c r="H61" s="1">
        <v>9.7212893010000005</v>
      </c>
      <c r="I61" s="1">
        <v>12.49751839</v>
      </c>
      <c r="J61" s="1">
        <v>11.10940385</v>
      </c>
      <c r="K61" s="1">
        <v>69</v>
      </c>
      <c r="L61" s="1">
        <v>257</v>
      </c>
      <c r="M61" s="1">
        <v>295</v>
      </c>
      <c r="N61" s="6">
        <v>3.2760602957621967</v>
      </c>
      <c r="O61" s="6">
        <f t="shared" si="1"/>
        <v>2.8667181725168756</v>
      </c>
      <c r="P61" s="6">
        <f t="shared" si="2"/>
        <v>3.6854024163535017</v>
      </c>
      <c r="Q61" s="7">
        <v>4.3229411449330062</v>
      </c>
      <c r="R61" s="7">
        <f t="shared" si="3"/>
        <v>3.7827917742939849</v>
      </c>
      <c r="S61" s="7">
        <f t="shared" si="4"/>
        <v>4.8630905120699079</v>
      </c>
      <c r="W61" s="7"/>
    </row>
    <row r="62" spans="1:23" x14ac:dyDescent="0.4">
      <c r="A62" s="1" t="s">
        <v>2</v>
      </c>
      <c r="B62" s="1">
        <v>2049</v>
      </c>
      <c r="C62" s="1">
        <v>12.66495303</v>
      </c>
      <c r="D62" s="1">
        <v>1.5964378779999999</v>
      </c>
      <c r="E62" s="1">
        <f t="shared" si="0"/>
        <v>11.068515152</v>
      </c>
      <c r="F62" s="4">
        <v>654000000</v>
      </c>
      <c r="G62" s="8">
        <v>872000000</v>
      </c>
      <c r="H62" s="1">
        <v>9.5887738460000005</v>
      </c>
      <c r="I62" s="1">
        <v>12.52431662</v>
      </c>
      <c r="J62" s="1">
        <v>11.056545229999999</v>
      </c>
      <c r="K62" s="1">
        <v>69</v>
      </c>
      <c r="L62" s="1">
        <v>257</v>
      </c>
      <c r="M62" s="1">
        <v>296</v>
      </c>
      <c r="N62" s="6">
        <v>3.2684582252150358</v>
      </c>
      <c r="O62" s="6">
        <f t="shared" si="1"/>
        <v>2.8345659602285656</v>
      </c>
      <c r="P62" s="6">
        <f t="shared" si="2"/>
        <v>3.7023504919751846</v>
      </c>
      <c r="Q62" s="7">
        <v>4.3120290094686817</v>
      </c>
      <c r="R62" s="7">
        <f t="shared" si="3"/>
        <v>3.7396013066539582</v>
      </c>
      <c r="S62" s="7">
        <f t="shared" si="4"/>
        <v>4.8844567146233935</v>
      </c>
      <c r="W62" s="7"/>
    </row>
    <row r="63" spans="1:23" x14ac:dyDescent="0.4">
      <c r="A63" s="1" t="s">
        <v>2</v>
      </c>
      <c r="B63" s="1">
        <v>2050</v>
      </c>
      <c r="C63" s="1">
        <v>12.58692638</v>
      </c>
      <c r="D63" s="1">
        <v>1.514347329</v>
      </c>
      <c r="E63" s="1">
        <f t="shared" si="0"/>
        <v>11.072579051</v>
      </c>
      <c r="F63" s="4">
        <v>654000000</v>
      </c>
      <c r="G63" s="8">
        <v>872000000</v>
      </c>
      <c r="H63" s="1">
        <v>9.7548941379999992</v>
      </c>
      <c r="I63" s="1">
        <v>12.65571574</v>
      </c>
      <c r="J63" s="1">
        <v>11.20530494</v>
      </c>
      <c r="K63" s="1">
        <v>69</v>
      </c>
      <c r="L63" s="1">
        <v>257</v>
      </c>
      <c r="M63" s="1">
        <v>297</v>
      </c>
      <c r="N63" s="6">
        <v>3.2669310647298722</v>
      </c>
      <c r="O63" s="6">
        <f t="shared" si="1"/>
        <v>2.8440606358530323</v>
      </c>
      <c r="P63" s="6">
        <f t="shared" si="2"/>
        <v>3.6898014930236069</v>
      </c>
      <c r="Q63" s="7">
        <v>4.3106729021586814</v>
      </c>
      <c r="R63" s="7">
        <f t="shared" si="3"/>
        <v>3.7527008902716368</v>
      </c>
      <c r="S63" s="7">
        <f t="shared" si="4"/>
        <v>4.8686449132763272</v>
      </c>
      <c r="W63" s="7"/>
    </row>
    <row r="64" spans="1:23" x14ac:dyDescent="0.4">
      <c r="A64" s="1" t="s">
        <v>2</v>
      </c>
      <c r="B64" s="1">
        <v>2051</v>
      </c>
      <c r="C64" s="1">
        <v>12.569490500000001</v>
      </c>
      <c r="D64" s="1">
        <v>1.413370325</v>
      </c>
      <c r="E64" s="1">
        <f t="shared" si="0"/>
        <v>11.156120175</v>
      </c>
      <c r="F64" s="4">
        <v>654000000</v>
      </c>
      <c r="G64" s="8">
        <v>872000000</v>
      </c>
      <c r="H64" s="1">
        <v>10.10243204</v>
      </c>
      <c r="I64" s="1">
        <v>12.713722730000001</v>
      </c>
      <c r="J64" s="1">
        <v>11.408077390000001</v>
      </c>
      <c r="K64" s="1">
        <v>69</v>
      </c>
      <c r="L64" s="1">
        <v>257</v>
      </c>
      <c r="M64" s="1">
        <v>297</v>
      </c>
      <c r="N64" s="6">
        <v>3.2789972165445227</v>
      </c>
      <c r="O64" s="6">
        <f t="shared" si="1"/>
        <v>2.9037186027969435</v>
      </c>
      <c r="P64" s="6">
        <f t="shared" si="2"/>
        <v>3.6542758274178251</v>
      </c>
      <c r="Q64" s="7">
        <v>4.3311629606475934</v>
      </c>
      <c r="R64" s="7">
        <f t="shared" si="3"/>
        <v>3.835464817451375</v>
      </c>
      <c r="S64" s="7">
        <f t="shared" si="4"/>
        <v>4.8268611000472363</v>
      </c>
      <c r="W64" s="7"/>
    </row>
    <row r="65" spans="1:23" x14ac:dyDescent="0.4">
      <c r="A65" s="1" t="s">
        <v>2</v>
      </c>
      <c r="B65" s="1">
        <v>2052</v>
      </c>
      <c r="C65" s="1">
        <v>12.5304561</v>
      </c>
      <c r="D65" s="1">
        <v>1.405956201</v>
      </c>
      <c r="E65" s="1">
        <f t="shared" si="0"/>
        <v>11.124499899</v>
      </c>
      <c r="F65" s="4">
        <v>654000000</v>
      </c>
      <c r="G65" s="8">
        <v>872000000</v>
      </c>
      <c r="H65" s="1">
        <v>9.8061177799999992</v>
      </c>
      <c r="I65" s="1">
        <v>12.740116609999999</v>
      </c>
      <c r="J65" s="1">
        <v>11.273117190000001</v>
      </c>
      <c r="K65" s="1">
        <v>69</v>
      </c>
      <c r="L65" s="1">
        <v>257</v>
      </c>
      <c r="M65" s="1">
        <v>298</v>
      </c>
      <c r="N65" s="6">
        <v>3.2741506810306471</v>
      </c>
      <c r="O65" s="6">
        <f t="shared" si="1"/>
        <v>2.8480771260086346</v>
      </c>
      <c r="P65" s="6">
        <f t="shared" si="2"/>
        <v>3.700224238957047</v>
      </c>
      <c r="Q65" s="7">
        <v>4.3232132978959843</v>
      </c>
      <c r="R65" s="7">
        <f t="shared" si="3"/>
        <v>3.7606225565397713</v>
      </c>
      <c r="S65" s="7">
        <f t="shared" si="4"/>
        <v>4.8858040430871723</v>
      </c>
      <c r="W65" s="7"/>
    </row>
    <row r="66" spans="1:23" x14ac:dyDescent="0.4">
      <c r="A66" s="1" t="s">
        <v>2</v>
      </c>
      <c r="B66" s="1">
        <v>2053</v>
      </c>
      <c r="C66" s="1">
        <v>12.537216239999999</v>
      </c>
      <c r="D66" s="1">
        <v>1.3581064199999999</v>
      </c>
      <c r="E66" s="1">
        <f t="shared" si="0"/>
        <v>11.179109819999999</v>
      </c>
      <c r="F66" s="4">
        <v>654000000</v>
      </c>
      <c r="G66" s="8">
        <v>872000000</v>
      </c>
      <c r="H66" s="1">
        <v>9.9647203369999993</v>
      </c>
      <c r="I66" s="1">
        <v>12.767071019999999</v>
      </c>
      <c r="J66" s="1">
        <v>11.36589568</v>
      </c>
      <c r="K66" s="1">
        <v>69</v>
      </c>
      <c r="L66" s="1">
        <v>257</v>
      </c>
      <c r="M66" s="1">
        <v>299</v>
      </c>
      <c r="N66" s="6">
        <v>3.2820078830025348</v>
      </c>
      <c r="O66" s="6">
        <f t="shared" si="1"/>
        <v>2.8774054961192177</v>
      </c>
      <c r="P66" s="6">
        <f t="shared" si="2"/>
        <v>3.6866102690195737</v>
      </c>
      <c r="Q66" s="7">
        <v>4.3364712317200924</v>
      </c>
      <c r="R66" s="7">
        <f t="shared" si="3"/>
        <v>3.8018757421444715</v>
      </c>
      <c r="S66" s="7">
        <f t="shared" si="4"/>
        <v>4.8710667201511129</v>
      </c>
      <c r="W66" s="7"/>
    </row>
    <row r="67" spans="1:23" x14ac:dyDescent="0.4">
      <c r="A67" s="1" t="s">
        <v>2</v>
      </c>
      <c r="B67" s="1">
        <v>2054</v>
      </c>
      <c r="C67" s="1">
        <v>12.50845644</v>
      </c>
      <c r="D67" s="1">
        <v>1.3655128700000001</v>
      </c>
      <c r="E67" s="1">
        <f t="shared" ref="E67:E130" si="5">C67-D67</f>
        <v>11.14294357</v>
      </c>
      <c r="F67" s="4">
        <v>654000000</v>
      </c>
      <c r="G67" s="8">
        <v>872000000</v>
      </c>
      <c r="H67" s="1">
        <v>9.5807731440000001</v>
      </c>
      <c r="I67" s="1">
        <v>12.921107810000001</v>
      </c>
      <c r="J67" s="1">
        <v>11.250940480000001</v>
      </c>
      <c r="K67" s="1">
        <v>69</v>
      </c>
      <c r="L67" s="1">
        <v>257</v>
      </c>
      <c r="M67" s="1">
        <v>300</v>
      </c>
      <c r="N67" s="6">
        <v>3.2752382289595086</v>
      </c>
      <c r="O67" s="6">
        <f t="shared" si="1"/>
        <v>2.7890392380973097</v>
      </c>
      <c r="P67" s="6">
        <f t="shared" si="2"/>
        <v>3.7614372180750597</v>
      </c>
      <c r="Q67" s="7">
        <v>4.3256516465158423</v>
      </c>
      <c r="R67" s="7">
        <f t="shared" si="3"/>
        <v>3.6835220307945638</v>
      </c>
      <c r="S67" s="7">
        <f t="shared" si="4"/>
        <v>4.9677812599302991</v>
      </c>
      <c r="W67" s="7"/>
    </row>
    <row r="68" spans="1:23" x14ac:dyDescent="0.4">
      <c r="A68" s="1" t="s">
        <v>2</v>
      </c>
      <c r="B68" s="1">
        <v>2055</v>
      </c>
      <c r="C68" s="1">
        <v>12.49550309</v>
      </c>
      <c r="D68" s="1">
        <v>1.401306298</v>
      </c>
      <c r="E68" s="1">
        <f t="shared" si="5"/>
        <v>11.094196792</v>
      </c>
      <c r="F68" s="4">
        <v>654000000</v>
      </c>
      <c r="G68" s="8">
        <v>872000000</v>
      </c>
      <c r="H68" s="1">
        <v>9.3063020420000004</v>
      </c>
      <c r="I68" s="1">
        <v>12.989433549999999</v>
      </c>
      <c r="J68" s="1">
        <v>11.1478678</v>
      </c>
      <c r="K68" s="1">
        <v>69</v>
      </c>
      <c r="L68" s="1">
        <v>257</v>
      </c>
      <c r="M68" s="1">
        <v>300</v>
      </c>
      <c r="N68" s="6">
        <v>3.265228741559</v>
      </c>
      <c r="O68" s="6">
        <f t="shared" si="1"/>
        <v>2.7258311141048526</v>
      </c>
      <c r="P68" s="6">
        <f t="shared" si="2"/>
        <v>3.8046263666699343</v>
      </c>
      <c r="Q68" s="7">
        <v>4.3098705608698289</v>
      </c>
      <c r="R68" s="7">
        <f t="shared" si="3"/>
        <v>3.5979039149870951</v>
      </c>
      <c r="S68" s="7">
        <f t="shared" si="4"/>
        <v>5.021837203659687</v>
      </c>
      <c r="W68" s="7"/>
    </row>
    <row r="69" spans="1:23" x14ac:dyDescent="0.4">
      <c r="A69" s="1" t="s">
        <v>2</v>
      </c>
      <c r="B69" s="1">
        <v>2056</v>
      </c>
      <c r="C69" s="1">
        <v>12.478265090000001</v>
      </c>
      <c r="D69" s="1">
        <v>1.417272356</v>
      </c>
      <c r="E69" s="1">
        <f t="shared" si="5"/>
        <v>11.060992734000001</v>
      </c>
      <c r="F69" s="4">
        <v>654000000</v>
      </c>
      <c r="G69" s="8">
        <v>872000000</v>
      </c>
      <c r="H69" s="1">
        <v>10.049736729999999</v>
      </c>
      <c r="I69" s="1">
        <v>12.696240570000001</v>
      </c>
      <c r="J69" s="1">
        <v>11.37298865</v>
      </c>
      <c r="K69" s="1">
        <v>69</v>
      </c>
      <c r="L69" s="1">
        <v>257</v>
      </c>
      <c r="M69" s="1">
        <v>301</v>
      </c>
      <c r="N69" s="6">
        <v>3.2581087516588254</v>
      </c>
      <c r="O69" s="6">
        <f t="shared" si="1"/>
        <v>2.8790264546584368</v>
      </c>
      <c r="P69" s="6">
        <f t="shared" si="2"/>
        <v>3.6371910486592136</v>
      </c>
      <c r="Q69" s="7">
        <v>4.2987164669989362</v>
      </c>
      <c r="R69" s="7">
        <f t="shared" si="3"/>
        <v>3.7985590331398984</v>
      </c>
      <c r="S69" s="7">
        <f t="shared" si="4"/>
        <v>4.7988739008579735</v>
      </c>
      <c r="W69" s="7"/>
    </row>
    <row r="70" spans="1:23" x14ac:dyDescent="0.4">
      <c r="A70" s="1" t="s">
        <v>2</v>
      </c>
      <c r="B70" s="1">
        <v>2057</v>
      </c>
      <c r="C70" s="1">
        <v>12.471549899999999</v>
      </c>
      <c r="D70" s="1">
        <v>1.4296887549999999</v>
      </c>
      <c r="E70" s="1">
        <f t="shared" si="5"/>
        <v>11.041861144999999</v>
      </c>
      <c r="F70" s="4">
        <v>654000000</v>
      </c>
      <c r="G70" s="8">
        <v>872000000</v>
      </c>
      <c r="H70" s="1">
        <v>9.8529072719999995</v>
      </c>
      <c r="I70" s="1">
        <v>12.666094129999999</v>
      </c>
      <c r="J70" s="1">
        <v>11.2595007</v>
      </c>
      <c r="K70" s="1">
        <v>69</v>
      </c>
      <c r="L70" s="1">
        <v>257</v>
      </c>
      <c r="M70" s="1">
        <v>302</v>
      </c>
      <c r="N70" s="6">
        <v>3.2527311818416949</v>
      </c>
      <c r="O70" s="6">
        <f t="shared" si="1"/>
        <v>2.8463836514019834</v>
      </c>
      <c r="P70" s="6">
        <f t="shared" si="2"/>
        <v>3.6590787128591811</v>
      </c>
      <c r="Q70" s="7">
        <v>4.290588951320383</v>
      </c>
      <c r="R70" s="7">
        <f t="shared" si="3"/>
        <v>3.7545870110943245</v>
      </c>
      <c r="S70" s="7">
        <f t="shared" si="4"/>
        <v>4.8265908923085687</v>
      </c>
      <c r="W70" s="7"/>
    </row>
    <row r="71" spans="1:23" x14ac:dyDescent="0.4">
      <c r="A71" s="1" t="s">
        <v>2</v>
      </c>
      <c r="B71" s="1">
        <v>2058</v>
      </c>
      <c r="C71" s="1">
        <v>12.48086314</v>
      </c>
      <c r="D71" s="1">
        <v>1.377756489</v>
      </c>
      <c r="E71" s="1">
        <f t="shared" si="5"/>
        <v>11.103106651000001</v>
      </c>
      <c r="F71" s="4">
        <v>654000000</v>
      </c>
      <c r="G71" s="8">
        <v>872000000</v>
      </c>
      <c r="H71" s="1">
        <v>10.04407969</v>
      </c>
      <c r="I71" s="1">
        <v>13.073156940000001</v>
      </c>
      <c r="J71" s="1">
        <v>11.55861831</v>
      </c>
      <c r="K71" s="1">
        <v>69</v>
      </c>
      <c r="L71" s="1">
        <v>257</v>
      </c>
      <c r="M71" s="1">
        <v>303</v>
      </c>
      <c r="N71" s="6">
        <v>3.2606192139844068</v>
      </c>
      <c r="O71" s="6">
        <f t="shared" si="1"/>
        <v>2.8333766498432409</v>
      </c>
      <c r="P71" s="6">
        <f t="shared" si="2"/>
        <v>3.6878617809465148</v>
      </c>
      <c r="Q71" s="7">
        <v>4.3041778466318288</v>
      </c>
      <c r="R71" s="7">
        <f t="shared" si="3"/>
        <v>3.7401966335457861</v>
      </c>
      <c r="S71" s="7">
        <f t="shared" si="4"/>
        <v>4.8681590634416541</v>
      </c>
      <c r="W71" s="7"/>
    </row>
    <row r="72" spans="1:23" x14ac:dyDescent="0.4">
      <c r="A72" s="1" t="s">
        <v>2</v>
      </c>
      <c r="B72" s="1">
        <v>2059</v>
      </c>
      <c r="C72" s="1">
        <v>12.446038959999999</v>
      </c>
      <c r="D72" s="1">
        <v>1.322682133</v>
      </c>
      <c r="E72" s="1">
        <f t="shared" si="5"/>
        <v>11.123356826999999</v>
      </c>
      <c r="F72" s="4">
        <v>654000000</v>
      </c>
      <c r="G72" s="8">
        <v>872000000</v>
      </c>
      <c r="H72" s="1">
        <v>10.08458972</v>
      </c>
      <c r="I72" s="1">
        <v>12.67389266</v>
      </c>
      <c r="J72" s="1">
        <v>11.37924119</v>
      </c>
      <c r="K72" s="1">
        <v>69</v>
      </c>
      <c r="L72" s="1">
        <v>257</v>
      </c>
      <c r="M72" s="1">
        <v>303</v>
      </c>
      <c r="N72" s="6">
        <v>3.2629140002997565</v>
      </c>
      <c r="O72" s="6">
        <f t="shared" si="1"/>
        <v>2.8916821811970927</v>
      </c>
      <c r="P72" s="6">
        <f t="shared" si="2"/>
        <v>3.6341458194024199</v>
      </c>
      <c r="Q72" s="7">
        <v>4.3082532247850676</v>
      </c>
      <c r="R72" s="7">
        <f t="shared" si="3"/>
        <v>3.8180899285275052</v>
      </c>
      <c r="S72" s="7">
        <f t="shared" si="4"/>
        <v>4.7984165210426299</v>
      </c>
      <c r="W72" s="7"/>
    </row>
    <row r="73" spans="1:23" x14ac:dyDescent="0.4">
      <c r="A73" s="1" t="s">
        <v>2</v>
      </c>
      <c r="B73" s="1">
        <v>2060</v>
      </c>
      <c r="C73" s="1">
        <v>12.467343769999999</v>
      </c>
      <c r="D73" s="1">
        <v>1.270694735</v>
      </c>
      <c r="E73" s="1">
        <f t="shared" si="5"/>
        <v>11.196649035</v>
      </c>
      <c r="F73" s="4">
        <v>654000000</v>
      </c>
      <c r="G73" s="8">
        <v>872000000</v>
      </c>
      <c r="H73" s="1">
        <v>9.8301484420000005</v>
      </c>
      <c r="I73" s="1">
        <v>12.89423998</v>
      </c>
      <c r="J73" s="1">
        <v>11.36219421</v>
      </c>
      <c r="K73" s="1">
        <v>69</v>
      </c>
      <c r="L73" s="1">
        <v>257</v>
      </c>
      <c r="M73" s="1">
        <v>304</v>
      </c>
      <c r="N73" s="6">
        <v>3.2749151127058429</v>
      </c>
      <c r="O73" s="6">
        <f t="shared" si="1"/>
        <v>2.833334926146065</v>
      </c>
      <c r="P73" s="6">
        <f t="shared" si="2"/>
        <v>3.7164952998420793</v>
      </c>
      <c r="Q73" s="7">
        <v>4.3279295859979898</v>
      </c>
      <c r="R73" s="7">
        <f t="shared" si="3"/>
        <v>3.7443639397960831</v>
      </c>
      <c r="S73" s="7">
        <f t="shared" si="4"/>
        <v>4.911495232961709</v>
      </c>
      <c r="W73" s="7"/>
    </row>
    <row r="74" spans="1:23" x14ac:dyDescent="0.4">
      <c r="A74" s="1" t="s">
        <v>2</v>
      </c>
      <c r="B74" s="1">
        <v>2061</v>
      </c>
      <c r="C74" s="1">
        <v>12.456447170000001</v>
      </c>
      <c r="D74" s="1">
        <v>1.336793329</v>
      </c>
      <c r="E74" s="1">
        <f t="shared" si="5"/>
        <v>11.119653841</v>
      </c>
      <c r="F74" s="4">
        <v>654000000</v>
      </c>
      <c r="G74" s="8">
        <v>872000000</v>
      </c>
      <c r="H74" s="1">
        <v>9.8668764249999992</v>
      </c>
      <c r="I74" s="1">
        <v>12.55882779</v>
      </c>
      <c r="J74" s="1">
        <v>11.21285211</v>
      </c>
      <c r="K74" s="1">
        <v>69</v>
      </c>
      <c r="L74" s="1">
        <v>257</v>
      </c>
      <c r="M74" s="1">
        <v>305</v>
      </c>
      <c r="N74" s="6">
        <v>3.2621992055222897</v>
      </c>
      <c r="O74" s="6">
        <f t="shared" si="1"/>
        <v>2.8706092008397679</v>
      </c>
      <c r="P74" s="6">
        <f t="shared" si="2"/>
        <v>3.6537892087501413</v>
      </c>
      <c r="Q74" s="7">
        <v>4.3071147416424633</v>
      </c>
      <c r="R74" s="7">
        <f t="shared" si="3"/>
        <v>3.790094481508504</v>
      </c>
      <c r="S74" s="7">
        <f t="shared" si="4"/>
        <v>4.8241349998558078</v>
      </c>
      <c r="W74" s="7"/>
    </row>
    <row r="75" spans="1:23" x14ac:dyDescent="0.4">
      <c r="A75" s="1" t="s">
        <v>2</v>
      </c>
      <c r="B75" s="1">
        <v>2062</v>
      </c>
      <c r="C75" s="1">
        <v>12.461918819999999</v>
      </c>
      <c r="D75" s="1">
        <v>1.353092969</v>
      </c>
      <c r="E75" s="1">
        <f t="shared" si="5"/>
        <v>11.108825850999999</v>
      </c>
      <c r="F75" s="4">
        <v>654000000</v>
      </c>
      <c r="G75" s="8">
        <v>872000000</v>
      </c>
      <c r="H75" s="1">
        <v>9.9100330420000002</v>
      </c>
      <c r="I75" s="1">
        <v>12.69285715</v>
      </c>
      <c r="J75" s="1">
        <v>11.30144509</v>
      </c>
      <c r="K75" s="1">
        <v>69</v>
      </c>
      <c r="L75" s="1">
        <v>257</v>
      </c>
      <c r="M75" s="1">
        <v>306</v>
      </c>
      <c r="N75" s="6">
        <v>3.2582654133121043</v>
      </c>
      <c r="O75" s="6">
        <f t="shared" si="1"/>
        <v>2.8571140812868152</v>
      </c>
      <c r="P75" s="6">
        <f t="shared" si="2"/>
        <v>3.6594167487970561</v>
      </c>
      <c r="Q75" s="7">
        <v>4.3013268258767976</v>
      </c>
      <c r="R75" s="7">
        <f t="shared" si="3"/>
        <v>3.7717557913542938</v>
      </c>
      <c r="S75" s="7">
        <f t="shared" si="4"/>
        <v>4.8308978649664986</v>
      </c>
      <c r="W75" s="7"/>
    </row>
    <row r="76" spans="1:23" x14ac:dyDescent="0.4">
      <c r="A76" s="1" t="s">
        <v>2</v>
      </c>
      <c r="B76" s="1">
        <v>2063</v>
      </c>
      <c r="C76" s="1">
        <v>12.4698221</v>
      </c>
      <c r="D76" s="1">
        <v>1.270423549</v>
      </c>
      <c r="E76" s="1">
        <f t="shared" si="5"/>
        <v>11.199398551</v>
      </c>
      <c r="F76" s="4">
        <v>654000000</v>
      </c>
      <c r="G76" s="8">
        <v>872000000</v>
      </c>
      <c r="H76" s="1">
        <v>10.161199079999999</v>
      </c>
      <c r="I76" s="1">
        <v>12.885794669999999</v>
      </c>
      <c r="J76" s="1">
        <v>11.52349688</v>
      </c>
      <c r="K76" s="1">
        <v>69</v>
      </c>
      <c r="L76" s="1">
        <v>257</v>
      </c>
      <c r="M76" s="1">
        <v>306</v>
      </c>
      <c r="N76" s="6">
        <v>3.2711240941605486</v>
      </c>
      <c r="O76" s="6">
        <f t="shared" si="1"/>
        <v>2.8844146427321289</v>
      </c>
      <c r="P76" s="6">
        <f t="shared" si="2"/>
        <v>3.6578335427503124</v>
      </c>
      <c r="Q76" s="7">
        <v>4.3230128714118328</v>
      </c>
      <c r="R76" s="7">
        <f t="shared" si="3"/>
        <v>3.8119500416628807</v>
      </c>
      <c r="S76" s="7">
        <f t="shared" si="4"/>
        <v>4.8340756974093084</v>
      </c>
      <c r="W76" s="7"/>
    </row>
    <row r="77" spans="1:23" x14ac:dyDescent="0.4">
      <c r="A77" s="1" t="s">
        <v>2</v>
      </c>
      <c r="B77" s="1">
        <v>2064</v>
      </c>
      <c r="C77" s="1">
        <v>12.41345516</v>
      </c>
      <c r="D77" s="1">
        <v>1.3648797370000001</v>
      </c>
      <c r="E77" s="1">
        <f t="shared" si="5"/>
        <v>11.048575422999999</v>
      </c>
      <c r="F77" s="4">
        <v>654000000</v>
      </c>
      <c r="G77" s="8">
        <v>872000000</v>
      </c>
      <c r="H77" s="1">
        <v>10.17121994</v>
      </c>
      <c r="I77" s="1">
        <v>12.586943359999999</v>
      </c>
      <c r="J77" s="1">
        <v>11.37908165</v>
      </c>
      <c r="K77" s="1">
        <v>69</v>
      </c>
      <c r="L77" s="1">
        <v>257</v>
      </c>
      <c r="M77" s="1">
        <v>307</v>
      </c>
      <c r="N77" s="6">
        <v>3.2466533242206865</v>
      </c>
      <c r="O77" s="6">
        <f t="shared" si="1"/>
        <v>2.9020290077258326</v>
      </c>
      <c r="P77" s="6">
        <f t="shared" si="2"/>
        <v>3.59127764071554</v>
      </c>
      <c r="Q77" s="7">
        <v>4.2828232331490295</v>
      </c>
      <c r="R77" s="7">
        <f t="shared" si="3"/>
        <v>3.8282120129176396</v>
      </c>
      <c r="S77" s="7">
        <f t="shared" si="4"/>
        <v>4.7374344533804189</v>
      </c>
      <c r="W77" s="7"/>
    </row>
    <row r="78" spans="1:23" x14ac:dyDescent="0.4">
      <c r="A78" s="1" t="s">
        <v>2</v>
      </c>
      <c r="B78" s="1">
        <v>2065</v>
      </c>
      <c r="C78" s="1">
        <v>12.42300142</v>
      </c>
      <c r="D78" s="1">
        <v>1.2979427830000001</v>
      </c>
      <c r="E78" s="1">
        <f t="shared" si="5"/>
        <v>11.125058637</v>
      </c>
      <c r="F78" s="4">
        <v>654000000</v>
      </c>
      <c r="G78" s="8">
        <v>872000000</v>
      </c>
      <c r="H78" s="1">
        <v>9.9276909270000004</v>
      </c>
      <c r="I78" s="1">
        <v>12.68082967</v>
      </c>
      <c r="J78" s="1">
        <v>11.304260299999999</v>
      </c>
      <c r="K78" s="1">
        <v>69</v>
      </c>
      <c r="L78" s="1">
        <v>257</v>
      </c>
      <c r="M78" s="1">
        <v>308</v>
      </c>
      <c r="N78" s="6">
        <v>3.256171752793938</v>
      </c>
      <c r="O78" s="6">
        <f t="shared" si="1"/>
        <v>2.8596534323405547</v>
      </c>
      <c r="P78" s="6">
        <f t="shared" si="2"/>
        <v>3.6526900723831774</v>
      </c>
      <c r="Q78" s="7">
        <v>4.2993491803229142</v>
      </c>
      <c r="R78" s="7">
        <f t="shared" si="3"/>
        <v>3.7757985676866173</v>
      </c>
      <c r="S78" s="7">
        <f t="shared" si="4"/>
        <v>4.8228997918182221</v>
      </c>
      <c r="W78" s="7"/>
    </row>
    <row r="79" spans="1:23" x14ac:dyDescent="0.4">
      <c r="A79" s="1" t="s">
        <v>2</v>
      </c>
      <c r="B79" s="1">
        <v>2066</v>
      </c>
      <c r="C79" s="1">
        <v>12.448654550000001</v>
      </c>
      <c r="D79" s="1">
        <v>1.2981057899999999</v>
      </c>
      <c r="E79" s="1">
        <f t="shared" si="5"/>
        <v>11.150548760000001</v>
      </c>
      <c r="F79" s="4">
        <v>654000000</v>
      </c>
      <c r="G79" s="8">
        <v>872000000</v>
      </c>
      <c r="H79" s="1">
        <v>9.9253561480000005</v>
      </c>
      <c r="I79" s="1">
        <v>12.574466839999999</v>
      </c>
      <c r="J79" s="1">
        <v>11.2499115</v>
      </c>
      <c r="K79" s="1">
        <v>69</v>
      </c>
      <c r="L79" s="1">
        <v>257</v>
      </c>
      <c r="M79" s="1">
        <v>309</v>
      </c>
      <c r="N79" s="6">
        <v>3.2591563246186337</v>
      </c>
      <c r="O79" s="6">
        <f t="shared" si="1"/>
        <v>2.8754259323592586</v>
      </c>
      <c r="P79" s="6">
        <f t="shared" si="2"/>
        <v>3.6428867134015483</v>
      </c>
      <c r="Q79" s="7">
        <v>4.3046066314582818</v>
      </c>
      <c r="R79" s="7">
        <f t="shared" si="3"/>
        <v>3.7977857776273201</v>
      </c>
      <c r="S79" s="7">
        <f t="shared" si="4"/>
        <v>4.8114274806976276</v>
      </c>
      <c r="W79" s="7"/>
    </row>
    <row r="80" spans="1:23" x14ac:dyDescent="0.4">
      <c r="A80" s="1" t="s">
        <v>2</v>
      </c>
      <c r="B80" s="1">
        <v>2067</v>
      </c>
      <c r="C80" s="1">
        <v>12.339511630000001</v>
      </c>
      <c r="D80" s="1">
        <v>1.2995397710000001</v>
      </c>
      <c r="E80" s="1">
        <f t="shared" si="5"/>
        <v>11.039971859000001</v>
      </c>
      <c r="F80" s="4">
        <v>654000000</v>
      </c>
      <c r="G80" s="8">
        <v>872000000</v>
      </c>
      <c r="H80" s="1">
        <v>9.8685048640000002</v>
      </c>
      <c r="I80" s="1">
        <v>12.52496646</v>
      </c>
      <c r="J80" s="1">
        <v>11.19673566</v>
      </c>
      <c r="K80" s="1">
        <v>69</v>
      </c>
      <c r="L80" s="1">
        <v>257</v>
      </c>
      <c r="M80" s="1">
        <v>309</v>
      </c>
      <c r="N80" s="6">
        <v>3.2398542877377161</v>
      </c>
      <c r="O80" s="6">
        <f t="shared" si="1"/>
        <v>2.855521356229902</v>
      </c>
      <c r="P80" s="6">
        <f t="shared" si="2"/>
        <v>3.6241872204029582</v>
      </c>
      <c r="Q80" s="7">
        <v>4.2733264915861957</v>
      </c>
      <c r="R80" s="7">
        <f t="shared" si="3"/>
        <v>3.7663962558600255</v>
      </c>
      <c r="S80" s="7">
        <f t="shared" si="4"/>
        <v>4.7802567288389994</v>
      </c>
      <c r="W80" s="7"/>
    </row>
    <row r="81" spans="1:23" x14ac:dyDescent="0.4">
      <c r="A81" s="1" t="s">
        <v>2</v>
      </c>
      <c r="B81" s="1">
        <v>2068</v>
      </c>
      <c r="C81" s="1">
        <v>12.37648357</v>
      </c>
      <c r="D81" s="1">
        <v>1.304467966</v>
      </c>
      <c r="E81" s="1">
        <f t="shared" si="5"/>
        <v>11.072015603999999</v>
      </c>
      <c r="F81" s="4">
        <v>654000000</v>
      </c>
      <c r="G81" s="8">
        <v>872000000</v>
      </c>
      <c r="H81" s="1">
        <v>10.38863901</v>
      </c>
      <c r="I81" s="1">
        <v>12.68036897</v>
      </c>
      <c r="J81" s="1">
        <v>11.534503989999999</v>
      </c>
      <c r="K81" s="1">
        <v>69</v>
      </c>
      <c r="L81" s="1">
        <v>257</v>
      </c>
      <c r="M81" s="1">
        <v>310</v>
      </c>
      <c r="N81" s="6">
        <v>3.2429386696512443</v>
      </c>
      <c r="O81" s="6">
        <f t="shared" si="1"/>
        <v>2.9207774517035325</v>
      </c>
      <c r="P81" s="6">
        <f t="shared" si="2"/>
        <v>3.565099887598957</v>
      </c>
      <c r="Q81" s="7">
        <v>4.2790456064833116</v>
      </c>
      <c r="R81" s="7">
        <f t="shared" si="3"/>
        <v>3.8539550683428776</v>
      </c>
      <c r="S81" s="7">
        <f t="shared" si="4"/>
        <v>4.7041361446237469</v>
      </c>
      <c r="W81" s="7"/>
    </row>
    <row r="82" spans="1:23" x14ac:dyDescent="0.4">
      <c r="A82" s="1" t="s">
        <v>2</v>
      </c>
      <c r="B82" s="1">
        <v>2069</v>
      </c>
      <c r="C82" s="1">
        <v>12.36900198</v>
      </c>
      <c r="D82" s="1">
        <v>1.268168532</v>
      </c>
      <c r="E82" s="1">
        <f t="shared" si="5"/>
        <v>11.100833447999999</v>
      </c>
      <c r="F82" s="4">
        <v>654000000</v>
      </c>
      <c r="G82" s="8">
        <v>872000000</v>
      </c>
      <c r="H82" s="1">
        <v>10.09146748</v>
      </c>
      <c r="I82" s="1">
        <v>12.701900009999999</v>
      </c>
      <c r="J82" s="1">
        <v>11.396683749999999</v>
      </c>
      <c r="K82" s="1">
        <v>69</v>
      </c>
      <c r="L82" s="1">
        <v>257</v>
      </c>
      <c r="M82" s="1">
        <v>311</v>
      </c>
      <c r="N82" s="6">
        <v>3.2461848217426499</v>
      </c>
      <c r="O82" s="6">
        <f t="shared" si="1"/>
        <v>2.8744123537415476</v>
      </c>
      <c r="P82" s="6">
        <f t="shared" si="2"/>
        <v>3.6179572868953933</v>
      </c>
      <c r="Q82" s="7">
        <v>4.2848186749706816</v>
      </c>
      <c r="R82" s="7">
        <f t="shared" si="3"/>
        <v>3.7940956566565536</v>
      </c>
      <c r="S82" s="7">
        <f t="shared" si="4"/>
        <v>4.7755416895251033</v>
      </c>
      <c r="W82" s="7"/>
    </row>
    <row r="83" spans="1:23" x14ac:dyDescent="0.4">
      <c r="A83" s="1" t="s">
        <v>2</v>
      </c>
      <c r="B83" s="1">
        <v>2070</v>
      </c>
      <c r="C83" s="1">
        <v>12.34685316</v>
      </c>
      <c r="D83" s="1">
        <v>1.32301253</v>
      </c>
      <c r="E83" s="1">
        <f t="shared" si="5"/>
        <v>11.02384063</v>
      </c>
      <c r="F83" s="4">
        <v>654000000</v>
      </c>
      <c r="G83" s="8">
        <v>872000000</v>
      </c>
      <c r="H83" s="1">
        <v>9.8725658529999993</v>
      </c>
      <c r="I83" s="1">
        <v>12.671220290000001</v>
      </c>
      <c r="J83" s="1">
        <v>11.271893070000001</v>
      </c>
      <c r="K83" s="1">
        <v>69</v>
      </c>
      <c r="L83" s="1">
        <v>257</v>
      </c>
      <c r="M83" s="1">
        <v>312</v>
      </c>
      <c r="N83" s="6">
        <v>3.2324026321799466</v>
      </c>
      <c r="O83" s="6">
        <f t="shared" si="1"/>
        <v>2.8311223014118831</v>
      </c>
      <c r="P83" s="6">
        <f t="shared" si="2"/>
        <v>3.6336829638083099</v>
      </c>
      <c r="Q83" s="7">
        <v>4.2625821656683334</v>
      </c>
      <c r="R83" s="7">
        <f t="shared" si="3"/>
        <v>3.7334122026393541</v>
      </c>
      <c r="S83" s="7">
        <f t="shared" si="4"/>
        <v>4.7917521298317922</v>
      </c>
      <c r="W83" s="7"/>
    </row>
    <row r="84" spans="1:23" x14ac:dyDescent="0.4">
      <c r="A84" s="1" t="s">
        <v>2</v>
      </c>
      <c r="B84" s="1">
        <v>2071</v>
      </c>
      <c r="C84" s="1">
        <v>12.33701153</v>
      </c>
      <c r="D84" s="1">
        <v>1.2777437380000001</v>
      </c>
      <c r="E84" s="1">
        <f t="shared" si="5"/>
        <v>11.059267792</v>
      </c>
      <c r="F84" s="4">
        <v>654000000</v>
      </c>
      <c r="G84" s="8">
        <v>872000000</v>
      </c>
      <c r="H84" s="1">
        <v>10.37031897</v>
      </c>
      <c r="I84" s="1">
        <v>12.69953162</v>
      </c>
      <c r="J84" s="1">
        <v>11.534925299999999</v>
      </c>
      <c r="K84" s="1">
        <v>69</v>
      </c>
      <c r="L84" s="1">
        <v>257</v>
      </c>
      <c r="M84" s="1">
        <v>312</v>
      </c>
      <c r="N84" s="6">
        <v>3.2355234630307379</v>
      </c>
      <c r="O84" s="6">
        <f t="shared" si="1"/>
        <v>2.9088537180685305</v>
      </c>
      <c r="P84" s="6">
        <f t="shared" si="2"/>
        <v>3.5621932051879663</v>
      </c>
      <c r="Q84" s="7">
        <v>4.2685195162605414</v>
      </c>
      <c r="R84" s="7">
        <f t="shared" si="3"/>
        <v>3.8375548832805984</v>
      </c>
      <c r="S84" s="7">
        <f t="shared" si="4"/>
        <v>4.6994841455399676</v>
      </c>
      <c r="W84" s="7"/>
    </row>
    <row r="85" spans="1:23" x14ac:dyDescent="0.4">
      <c r="A85" s="1" t="s">
        <v>2</v>
      </c>
      <c r="B85" s="1">
        <v>2072</v>
      </c>
      <c r="C85" s="1">
        <v>12.36374661</v>
      </c>
      <c r="D85" s="1">
        <v>1.27751814</v>
      </c>
      <c r="E85" s="1">
        <f t="shared" si="5"/>
        <v>11.08622847</v>
      </c>
      <c r="F85" s="4">
        <v>654000000</v>
      </c>
      <c r="G85" s="8">
        <v>872000000</v>
      </c>
      <c r="H85" s="1">
        <v>9.9840234720000005</v>
      </c>
      <c r="I85" s="1">
        <v>12.66262006</v>
      </c>
      <c r="J85" s="1">
        <v>11.323321760000001</v>
      </c>
      <c r="K85" s="1">
        <v>69</v>
      </c>
      <c r="L85" s="1">
        <v>257</v>
      </c>
      <c r="M85" s="1">
        <v>313</v>
      </c>
      <c r="N85" s="6">
        <v>3.2392538258002497</v>
      </c>
      <c r="O85" s="6">
        <f t="shared" si="1"/>
        <v>2.8561218089554221</v>
      </c>
      <c r="P85" s="6">
        <f t="shared" si="2"/>
        <v>3.6223858460779077</v>
      </c>
      <c r="Q85" s="7">
        <v>4.2748450845129486</v>
      </c>
      <c r="R85" s="7">
        <f t="shared" si="3"/>
        <v>3.7692255477284169</v>
      </c>
      <c r="S85" s="7">
        <f t="shared" si="4"/>
        <v>4.780464625827789</v>
      </c>
      <c r="W85" s="7"/>
    </row>
    <row r="86" spans="1:23" x14ac:dyDescent="0.4">
      <c r="A86" s="1" t="s">
        <v>2</v>
      </c>
      <c r="B86" s="1">
        <v>2073</v>
      </c>
      <c r="C86" s="1">
        <v>12.39379023</v>
      </c>
      <c r="D86" s="1">
        <v>1.3457577380000001</v>
      </c>
      <c r="E86" s="1">
        <f t="shared" si="5"/>
        <v>11.048032492000001</v>
      </c>
      <c r="F86" s="4">
        <v>654000000</v>
      </c>
      <c r="G86" s="8">
        <v>872000000</v>
      </c>
      <c r="H86" s="1">
        <v>9.6008885730000006</v>
      </c>
      <c r="I86" s="1">
        <v>12.58432709</v>
      </c>
      <c r="J86" s="1">
        <v>11.09260783</v>
      </c>
      <c r="K86" s="1">
        <v>69</v>
      </c>
      <c r="L86" s="1">
        <v>257</v>
      </c>
      <c r="M86" s="1">
        <v>314</v>
      </c>
      <c r="N86" s="6">
        <v>3.2321604904691377</v>
      </c>
      <c r="O86" s="6">
        <f t="shared" si="1"/>
        <v>2.7975038146685494</v>
      </c>
      <c r="P86" s="6">
        <f t="shared" si="2"/>
        <v>3.666817167143865</v>
      </c>
      <c r="Q86" s="7">
        <v>4.2634722387465773</v>
      </c>
      <c r="R86" s="7">
        <f t="shared" si="3"/>
        <v>3.6901261205305538</v>
      </c>
      <c r="S86" s="7">
        <f t="shared" si="4"/>
        <v>4.836818358115659</v>
      </c>
      <c r="W86" s="7"/>
    </row>
    <row r="87" spans="1:23" x14ac:dyDescent="0.4">
      <c r="A87" s="1" t="s">
        <v>2</v>
      </c>
      <c r="B87" s="1">
        <v>2074</v>
      </c>
      <c r="C87" s="1">
        <v>12.37175948</v>
      </c>
      <c r="D87" s="1">
        <v>1.2415983370000001</v>
      </c>
      <c r="E87" s="1">
        <f t="shared" si="5"/>
        <v>11.130161142999999</v>
      </c>
      <c r="F87" s="4">
        <v>654000000</v>
      </c>
      <c r="G87" s="8">
        <v>872000000</v>
      </c>
      <c r="H87" s="1">
        <v>9.8749781910000003</v>
      </c>
      <c r="I87" s="1">
        <v>12.874223969999999</v>
      </c>
      <c r="J87" s="1">
        <v>11.37460108</v>
      </c>
      <c r="K87" s="1">
        <v>69</v>
      </c>
      <c r="L87" s="1">
        <v>257</v>
      </c>
      <c r="M87" s="1">
        <v>315</v>
      </c>
      <c r="N87" s="6">
        <v>3.2435831690633088</v>
      </c>
      <c r="O87" s="6">
        <f t="shared" si="1"/>
        <v>2.8159504522329004</v>
      </c>
      <c r="P87" s="6">
        <f t="shared" si="2"/>
        <v>3.6712158861788766</v>
      </c>
      <c r="Q87" s="7">
        <v>4.2828202332542817</v>
      </c>
      <c r="R87" s="7">
        <f t="shared" si="3"/>
        <v>3.7181749146106817</v>
      </c>
      <c r="S87" s="7">
        <f t="shared" si="4"/>
        <v>4.8474655522744072</v>
      </c>
      <c r="W87" s="7"/>
    </row>
    <row r="88" spans="1:23" x14ac:dyDescent="0.4">
      <c r="A88" s="1" t="s">
        <v>2</v>
      </c>
      <c r="B88" s="1">
        <v>2075</v>
      </c>
      <c r="C88" s="1">
        <v>12.37030068</v>
      </c>
      <c r="D88" s="1">
        <v>1.350147158</v>
      </c>
      <c r="E88" s="1">
        <f t="shared" si="5"/>
        <v>11.020153521999999</v>
      </c>
      <c r="F88" s="4">
        <v>654000000</v>
      </c>
      <c r="G88" s="8">
        <v>872000000</v>
      </c>
      <c r="H88" s="1">
        <v>9.6098998150000003</v>
      </c>
      <c r="I88" s="1">
        <v>12.678867629999999</v>
      </c>
      <c r="J88" s="1">
        <v>11.14438372</v>
      </c>
      <c r="K88" s="1">
        <v>69</v>
      </c>
      <c r="L88" s="1">
        <v>257</v>
      </c>
      <c r="M88" s="1">
        <v>316</v>
      </c>
      <c r="N88" s="6">
        <v>3.2250825979262232</v>
      </c>
      <c r="O88" s="6">
        <f t="shared" si="1"/>
        <v>2.7810170072976392</v>
      </c>
      <c r="P88" s="6">
        <f t="shared" si="2"/>
        <v>3.6691481900017608</v>
      </c>
      <c r="Q88" s="7">
        <v>4.2526372562632417</v>
      </c>
      <c r="R88" s="7">
        <f t="shared" si="3"/>
        <v>3.6670864005592798</v>
      </c>
      <c r="S88" s="7">
        <f t="shared" si="4"/>
        <v>4.8381881138751766</v>
      </c>
      <c r="W88" s="7"/>
    </row>
    <row r="89" spans="1:23" x14ac:dyDescent="0.4">
      <c r="A89" s="1" t="s">
        <v>2</v>
      </c>
      <c r="B89" s="1">
        <v>2076</v>
      </c>
      <c r="C89" s="1">
        <v>12.37633196</v>
      </c>
      <c r="D89" s="1">
        <v>1.3058844220000001</v>
      </c>
      <c r="E89" s="1">
        <f t="shared" si="5"/>
        <v>11.070447538</v>
      </c>
      <c r="F89" s="4">
        <v>654000000</v>
      </c>
      <c r="G89" s="8">
        <v>872000000</v>
      </c>
      <c r="H89" s="1">
        <v>9.8099809039999997</v>
      </c>
      <c r="I89" s="1">
        <v>12.60262751</v>
      </c>
      <c r="J89" s="1">
        <v>11.206304210000001</v>
      </c>
      <c r="K89" s="1">
        <v>69</v>
      </c>
      <c r="L89" s="1">
        <v>257</v>
      </c>
      <c r="M89" s="1">
        <v>316</v>
      </c>
      <c r="N89" s="6">
        <v>3.2303619947289461</v>
      </c>
      <c r="O89" s="6">
        <f t="shared" si="1"/>
        <v>2.8278537586923411</v>
      </c>
      <c r="P89" s="6">
        <f t="shared" si="2"/>
        <v>3.6328702290359729</v>
      </c>
      <c r="Q89" s="7">
        <v>4.2621980872976728</v>
      </c>
      <c r="R89" s="7">
        <f t="shared" si="3"/>
        <v>3.7311214350351367</v>
      </c>
      <c r="S89" s="7">
        <f t="shared" si="4"/>
        <v>4.7932747372781721</v>
      </c>
      <c r="W89" s="7"/>
    </row>
    <row r="90" spans="1:23" x14ac:dyDescent="0.4">
      <c r="A90" s="1" t="s">
        <v>2</v>
      </c>
      <c r="B90" s="1">
        <v>2077</v>
      </c>
      <c r="C90" s="1">
        <v>12.3979412</v>
      </c>
      <c r="D90" s="1">
        <v>1.341194212</v>
      </c>
      <c r="E90" s="1">
        <f t="shared" si="5"/>
        <v>11.056746988</v>
      </c>
      <c r="F90" s="4">
        <v>654000000</v>
      </c>
      <c r="G90" s="8">
        <v>872000000</v>
      </c>
      <c r="H90" s="1">
        <v>9.6119444519999995</v>
      </c>
      <c r="I90" s="1">
        <v>12.719420149999999</v>
      </c>
      <c r="J90" s="1">
        <v>11.1656823</v>
      </c>
      <c r="K90" s="1">
        <v>69</v>
      </c>
      <c r="L90" s="1">
        <v>257</v>
      </c>
      <c r="M90" s="1">
        <v>317</v>
      </c>
      <c r="N90" s="6">
        <v>3.2276002085844184</v>
      </c>
      <c r="O90" s="6">
        <f t="shared" si="1"/>
        <v>2.7784700553567641</v>
      </c>
      <c r="P90" s="6">
        <f t="shared" si="2"/>
        <v>3.676730362390201</v>
      </c>
      <c r="Q90" s="7">
        <v>4.2578287892513798</v>
      </c>
      <c r="R90" s="7">
        <f t="shared" si="3"/>
        <v>3.6653392698098415</v>
      </c>
      <c r="S90" s="7">
        <f t="shared" si="4"/>
        <v>4.8503183094555808</v>
      </c>
      <c r="W90" s="7"/>
    </row>
    <row r="91" spans="1:23" x14ac:dyDescent="0.4">
      <c r="A91" s="1" t="s">
        <v>2</v>
      </c>
      <c r="B91" s="1">
        <v>2078</v>
      </c>
      <c r="C91" s="1">
        <v>12.425082919999999</v>
      </c>
      <c r="D91" s="1">
        <v>1.2979989329999999</v>
      </c>
      <c r="E91" s="1">
        <f t="shared" si="5"/>
        <v>11.127083986999999</v>
      </c>
      <c r="F91" s="4">
        <v>654000000</v>
      </c>
      <c r="G91" s="8">
        <v>872000000</v>
      </c>
      <c r="H91" s="1">
        <v>9.5501276209999997</v>
      </c>
      <c r="I91" s="1">
        <v>12.84716628</v>
      </c>
      <c r="J91" s="1">
        <v>11.198646950000001</v>
      </c>
      <c r="K91" s="1">
        <v>69</v>
      </c>
      <c r="L91" s="1">
        <v>257</v>
      </c>
      <c r="M91" s="1">
        <v>318</v>
      </c>
      <c r="N91" s="6">
        <v>3.2375590625414903</v>
      </c>
      <c r="O91" s="6">
        <f t="shared" si="1"/>
        <v>2.7609676745632514</v>
      </c>
      <c r="P91" s="6">
        <f t="shared" si="2"/>
        <v>3.7141504508088312</v>
      </c>
      <c r="Q91" s="7">
        <v>4.2746338091511147</v>
      </c>
      <c r="R91" s="7">
        <f t="shared" si="3"/>
        <v>3.6453777489998025</v>
      </c>
      <c r="S91" s="7">
        <f t="shared" si="4"/>
        <v>4.9038898696841366</v>
      </c>
      <c r="W91" s="7"/>
    </row>
    <row r="92" spans="1:23" x14ac:dyDescent="0.4">
      <c r="A92" s="1" t="s">
        <v>2</v>
      </c>
      <c r="B92" s="1">
        <v>2079</v>
      </c>
      <c r="C92" s="1">
        <v>12.44808855</v>
      </c>
      <c r="D92" s="1">
        <v>1.3238979289999999</v>
      </c>
      <c r="E92" s="1">
        <f t="shared" si="5"/>
        <v>11.124190621</v>
      </c>
      <c r="F92" s="4">
        <v>654000000</v>
      </c>
      <c r="G92" s="8">
        <v>872000000</v>
      </c>
      <c r="H92" s="1">
        <v>10.017822410000001</v>
      </c>
      <c r="I92" s="1">
        <v>12.60732724</v>
      </c>
      <c r="J92" s="1">
        <v>11.31257482</v>
      </c>
      <c r="K92" s="1">
        <v>69</v>
      </c>
      <c r="L92" s="1">
        <v>257</v>
      </c>
      <c r="M92" s="1">
        <v>319</v>
      </c>
      <c r="N92" s="6">
        <v>3.2364907733549946</v>
      </c>
      <c r="O92" s="6">
        <f t="shared" si="1"/>
        <v>2.8660663301649567</v>
      </c>
      <c r="P92" s="6">
        <f t="shared" si="2"/>
        <v>3.6069152194059999</v>
      </c>
      <c r="Q92" s="7">
        <v>4.2730643563342552</v>
      </c>
      <c r="R92" s="7">
        <f t="shared" si="3"/>
        <v>3.7840014805981657</v>
      </c>
      <c r="S92" s="7">
        <f t="shared" si="4"/>
        <v>4.7621272358476139</v>
      </c>
      <c r="W92" s="7"/>
    </row>
    <row r="93" spans="1:23" x14ac:dyDescent="0.4">
      <c r="A93" s="1" t="s">
        <v>2</v>
      </c>
      <c r="B93" s="1">
        <v>2080</v>
      </c>
      <c r="C93" s="1">
        <v>12.40394998</v>
      </c>
      <c r="D93" s="1">
        <v>1.3102520120000001</v>
      </c>
      <c r="E93" s="1">
        <f t="shared" si="5"/>
        <v>11.093697968000001</v>
      </c>
      <c r="F93" s="4">
        <v>654000000</v>
      </c>
      <c r="G93" s="8">
        <v>872000000</v>
      </c>
      <c r="H93" s="1">
        <v>9.6973291879999994</v>
      </c>
      <c r="I93" s="1">
        <v>12.784044079999999</v>
      </c>
      <c r="J93" s="1">
        <v>11.240686630000001</v>
      </c>
      <c r="K93" s="1">
        <v>69</v>
      </c>
      <c r="L93" s="1">
        <v>257</v>
      </c>
      <c r="M93" s="1">
        <v>319</v>
      </c>
      <c r="N93" s="6">
        <v>3.2302657754388955</v>
      </c>
      <c r="O93" s="6">
        <f t="shared" si="1"/>
        <v>2.7867470751794321</v>
      </c>
      <c r="P93" s="6">
        <f t="shared" si="2"/>
        <v>3.6737844779973385</v>
      </c>
      <c r="Q93" s="7">
        <v>4.26323552216118</v>
      </c>
      <c r="R93" s="7">
        <f t="shared" si="3"/>
        <v>3.6778890494140595</v>
      </c>
      <c r="S93" s="7">
        <f t="shared" si="4"/>
        <v>4.8485819979424454</v>
      </c>
      <c r="W93" s="7"/>
    </row>
    <row r="94" spans="1:23" x14ac:dyDescent="0.4">
      <c r="A94" s="1" t="s">
        <v>2</v>
      </c>
      <c r="B94" s="1">
        <v>2081</v>
      </c>
      <c r="C94" s="1">
        <v>12.409663699999999</v>
      </c>
      <c r="D94" s="1">
        <v>1.3211469840000001</v>
      </c>
      <c r="E94" s="1">
        <f t="shared" si="5"/>
        <v>11.088516715999999</v>
      </c>
      <c r="F94" s="4">
        <v>654000000</v>
      </c>
      <c r="G94" s="8">
        <v>872000000</v>
      </c>
      <c r="H94" s="1">
        <v>9.7729424819999995</v>
      </c>
      <c r="I94" s="1">
        <v>12.739716619999999</v>
      </c>
      <c r="J94" s="1">
        <v>11.25632955</v>
      </c>
      <c r="K94" s="1">
        <v>69</v>
      </c>
      <c r="L94" s="1">
        <v>257</v>
      </c>
      <c r="M94" s="1">
        <v>320</v>
      </c>
      <c r="N94" s="6">
        <v>3.22841298972806</v>
      </c>
      <c r="O94" s="6">
        <f t="shared" si="1"/>
        <v>2.8029647067994725</v>
      </c>
      <c r="P94" s="6">
        <f t="shared" si="2"/>
        <v>3.6538612732302651</v>
      </c>
      <c r="Q94" s="7">
        <v>4.2605053642266935</v>
      </c>
      <c r="R94" s="7">
        <f t="shared" si="3"/>
        <v>3.6990453845445499</v>
      </c>
      <c r="S94" s="7">
        <f t="shared" si="4"/>
        <v>4.8219653446658342</v>
      </c>
      <c r="W94" s="7"/>
    </row>
    <row r="95" spans="1:23" x14ac:dyDescent="0.4">
      <c r="A95" s="1" t="s">
        <v>2</v>
      </c>
      <c r="B95" s="1">
        <v>2082</v>
      </c>
      <c r="C95" s="1">
        <v>12.30510267</v>
      </c>
      <c r="D95" s="1">
        <v>1.270123063</v>
      </c>
      <c r="E95" s="1">
        <f t="shared" si="5"/>
        <v>11.034979607</v>
      </c>
      <c r="F95" s="4">
        <v>654000000</v>
      </c>
      <c r="G95" s="8">
        <v>872000000</v>
      </c>
      <c r="H95" s="1">
        <v>9.8374892680000006</v>
      </c>
      <c r="I95" s="1">
        <v>12.5138941</v>
      </c>
      <c r="J95" s="1">
        <v>11.175691690000001</v>
      </c>
      <c r="K95" s="1">
        <v>69</v>
      </c>
      <c r="L95" s="1">
        <v>257</v>
      </c>
      <c r="M95" s="1">
        <v>321</v>
      </c>
      <c r="N95" s="6">
        <v>3.2182896737828597</v>
      </c>
      <c r="O95" s="6">
        <f t="shared" si="1"/>
        <v>2.8329244404159208</v>
      </c>
      <c r="P95" s="6">
        <f t="shared" si="2"/>
        <v>3.6036549036941312</v>
      </c>
      <c r="Q95" s="7">
        <v>4.2443233725310474</v>
      </c>
      <c r="R95" s="7">
        <f t="shared" si="3"/>
        <v>3.7360985597479148</v>
      </c>
      <c r="S95" s="7">
        <f t="shared" si="4"/>
        <v>4.7525481807567989</v>
      </c>
      <c r="W95" s="7"/>
    </row>
    <row r="96" spans="1:23" x14ac:dyDescent="0.4">
      <c r="A96" s="1" t="s">
        <v>2</v>
      </c>
      <c r="B96" s="1">
        <v>2083</v>
      </c>
      <c r="C96" s="1">
        <v>12.34445968</v>
      </c>
      <c r="D96" s="1">
        <v>1.236682361</v>
      </c>
      <c r="E96" s="1">
        <f t="shared" si="5"/>
        <v>11.107777319</v>
      </c>
      <c r="F96" s="4">
        <v>654000000</v>
      </c>
      <c r="G96" s="8">
        <v>872000000</v>
      </c>
      <c r="H96" s="1">
        <v>10.004634100000001</v>
      </c>
      <c r="I96" s="1">
        <v>12.798350859999999</v>
      </c>
      <c r="J96" s="1">
        <v>11.40149248</v>
      </c>
      <c r="K96" s="1">
        <v>69</v>
      </c>
      <c r="L96" s="1">
        <v>257</v>
      </c>
      <c r="M96" s="1">
        <v>322</v>
      </c>
      <c r="N96" s="6">
        <v>3.2275742150670665</v>
      </c>
      <c r="O96" s="6">
        <f t="shared" si="1"/>
        <v>2.8321466780760187</v>
      </c>
      <c r="P96" s="6">
        <f t="shared" si="2"/>
        <v>3.6230017520581144</v>
      </c>
      <c r="Q96" s="7">
        <v>4.2603526837979446</v>
      </c>
      <c r="R96" s="7">
        <f t="shared" si="3"/>
        <v>3.7383938824780456</v>
      </c>
      <c r="S96" s="7">
        <f t="shared" si="4"/>
        <v>4.7823114851178437</v>
      </c>
      <c r="W96" s="7"/>
    </row>
    <row r="97" spans="1:23" x14ac:dyDescent="0.4">
      <c r="A97" s="1" t="s">
        <v>2</v>
      </c>
      <c r="B97" s="1">
        <v>2084</v>
      </c>
      <c r="C97" s="1">
        <v>12.31720698</v>
      </c>
      <c r="D97" s="1">
        <v>1.248864813</v>
      </c>
      <c r="E97" s="1">
        <f t="shared" si="5"/>
        <v>11.068342167000001</v>
      </c>
      <c r="F97" s="4">
        <v>654000000</v>
      </c>
      <c r="G97" s="8">
        <v>872000000</v>
      </c>
      <c r="H97" s="1">
        <v>9.6759623050000005</v>
      </c>
      <c r="I97" s="1">
        <v>12.783700809999999</v>
      </c>
      <c r="J97" s="1">
        <v>11.229831559999999</v>
      </c>
      <c r="K97" s="1">
        <v>69</v>
      </c>
      <c r="L97" s="1">
        <v>257</v>
      </c>
      <c r="M97" s="1">
        <v>322</v>
      </c>
      <c r="N97" s="6">
        <v>3.2202243680117029</v>
      </c>
      <c r="O97" s="6">
        <f t="shared" si="1"/>
        <v>2.774642649985009</v>
      </c>
      <c r="P97" s="6">
        <f t="shared" si="2"/>
        <v>3.6658060846046161</v>
      </c>
      <c r="Q97" s="7">
        <v>4.2485756928381795</v>
      </c>
      <c r="R97" s="7">
        <f t="shared" si="3"/>
        <v>3.6607012344040433</v>
      </c>
      <c r="S97" s="7">
        <f t="shared" si="4"/>
        <v>4.8364501493806689</v>
      </c>
      <c r="W97" s="7"/>
    </row>
    <row r="98" spans="1:23" x14ac:dyDescent="0.4">
      <c r="A98" s="1" t="s">
        <v>2</v>
      </c>
      <c r="B98" s="1">
        <v>2085</v>
      </c>
      <c r="C98" s="1">
        <v>12.33412272</v>
      </c>
      <c r="D98" s="1">
        <v>1.325560356</v>
      </c>
      <c r="E98" s="1">
        <f t="shared" si="5"/>
        <v>11.008562363999999</v>
      </c>
      <c r="F98" s="4">
        <v>654000000</v>
      </c>
      <c r="G98" s="8">
        <v>872000000</v>
      </c>
      <c r="H98" s="1">
        <v>9.5597981310000009</v>
      </c>
      <c r="I98" s="1">
        <v>12.457159669999999</v>
      </c>
      <c r="J98" s="1">
        <v>11.0084789</v>
      </c>
      <c r="K98" s="1">
        <v>69</v>
      </c>
      <c r="L98" s="1">
        <v>257</v>
      </c>
      <c r="M98" s="1">
        <v>323</v>
      </c>
      <c r="N98" s="6">
        <v>3.2096412535849068</v>
      </c>
      <c r="O98" s="6">
        <f t="shared" si="1"/>
        <v>2.7872626850564695</v>
      </c>
      <c r="P98" s="6">
        <f t="shared" si="2"/>
        <v>3.6320198224049047</v>
      </c>
      <c r="Q98" s="7">
        <v>4.2314676410629986</v>
      </c>
      <c r="R98" s="7">
        <f t="shared" si="3"/>
        <v>3.6746199737387002</v>
      </c>
      <c r="S98" s="7">
        <f t="shared" si="4"/>
        <v>4.7883153087716792</v>
      </c>
      <c r="W98" s="7"/>
    </row>
    <row r="99" spans="1:23" x14ac:dyDescent="0.4">
      <c r="A99" s="1" t="s">
        <v>2</v>
      </c>
      <c r="B99" s="1">
        <v>2086</v>
      </c>
      <c r="C99" s="1">
        <v>12.337854500000001</v>
      </c>
      <c r="D99" s="1">
        <v>1.365264845</v>
      </c>
      <c r="E99" s="1">
        <f t="shared" si="5"/>
        <v>10.972589655</v>
      </c>
      <c r="F99" s="4">
        <v>654000000</v>
      </c>
      <c r="G99" s="8">
        <v>872000000</v>
      </c>
      <c r="H99" s="1">
        <v>9.6630188169999993</v>
      </c>
      <c r="I99" s="1">
        <v>12.58595581</v>
      </c>
      <c r="J99" s="1">
        <v>11.12448732</v>
      </c>
      <c r="K99" s="1">
        <v>69</v>
      </c>
      <c r="L99" s="1">
        <v>257</v>
      </c>
      <c r="M99" s="1">
        <v>324</v>
      </c>
      <c r="N99" s="6">
        <v>3.2016439260226988</v>
      </c>
      <c r="O99" s="6">
        <f t="shared" si="1"/>
        <v>2.7810311264295722</v>
      </c>
      <c r="P99" s="6">
        <f t="shared" si="2"/>
        <v>3.6222567218744057</v>
      </c>
      <c r="Q99" s="7">
        <v>4.2190009423095356</v>
      </c>
      <c r="R99" s="7">
        <f t="shared" si="3"/>
        <v>3.6647338723810754</v>
      </c>
      <c r="S99" s="7">
        <f t="shared" si="4"/>
        <v>4.7732680073077001</v>
      </c>
      <c r="W99" s="7"/>
    </row>
    <row r="100" spans="1:23" x14ac:dyDescent="0.4">
      <c r="A100" s="1" t="s">
        <v>2</v>
      </c>
      <c r="B100" s="1">
        <v>2087</v>
      </c>
      <c r="C100" s="1">
        <v>12.30802074</v>
      </c>
      <c r="D100" s="1">
        <v>1.3565078159999999</v>
      </c>
      <c r="E100" s="1">
        <f t="shared" si="5"/>
        <v>10.951512923999999</v>
      </c>
      <c r="F100" s="4">
        <v>654000000</v>
      </c>
      <c r="G100" s="8">
        <v>872000000</v>
      </c>
      <c r="H100" s="1">
        <v>9.7566123699999991</v>
      </c>
      <c r="I100" s="1">
        <v>12.71928563</v>
      </c>
      <c r="J100" s="1">
        <v>11.237949</v>
      </c>
      <c r="K100" s="1">
        <v>69</v>
      </c>
      <c r="L100" s="1">
        <v>257</v>
      </c>
      <c r="M100" s="1">
        <v>325</v>
      </c>
      <c r="N100" s="6">
        <v>3.1958294995161824</v>
      </c>
      <c r="O100" s="6">
        <f t="shared" si="1"/>
        <v>2.7745694189740928</v>
      </c>
      <c r="P100" s="6">
        <f t="shared" si="2"/>
        <v>3.6170895800582712</v>
      </c>
      <c r="Q100" s="7">
        <v>4.2101916310420568</v>
      </c>
      <c r="R100" s="7">
        <f t="shared" si="3"/>
        <v>3.6552228300284515</v>
      </c>
      <c r="S100" s="7">
        <f t="shared" si="4"/>
        <v>4.7651604320556622</v>
      </c>
      <c r="W100" s="7"/>
    </row>
    <row r="101" spans="1:23" x14ac:dyDescent="0.4">
      <c r="A101" s="1" t="s">
        <v>2</v>
      </c>
      <c r="B101" s="1">
        <v>2088</v>
      </c>
      <c r="C101" s="1">
        <v>12.350323360000001</v>
      </c>
      <c r="D101" s="1">
        <v>1.3874196510000001</v>
      </c>
      <c r="E101" s="1">
        <f t="shared" si="5"/>
        <v>10.962903709000001</v>
      </c>
      <c r="F101" s="4">
        <v>654000000</v>
      </c>
      <c r="G101" s="8">
        <v>872000000</v>
      </c>
      <c r="H101" s="1">
        <v>9.4543503819999994</v>
      </c>
      <c r="I101" s="1">
        <v>12.72350147</v>
      </c>
      <c r="J101" s="1">
        <v>11.08892593</v>
      </c>
      <c r="K101" s="1">
        <v>69</v>
      </c>
      <c r="L101" s="1">
        <v>257</v>
      </c>
      <c r="M101" s="1">
        <v>325</v>
      </c>
      <c r="N101" s="6">
        <v>3.1952964576246008</v>
      </c>
      <c r="O101" s="6">
        <f t="shared" si="1"/>
        <v>2.7242902040690598</v>
      </c>
      <c r="P101" s="6">
        <f t="shared" si="2"/>
        <v>3.6663027088749254</v>
      </c>
      <c r="Q101" s="7">
        <v>4.2100520183218855</v>
      </c>
      <c r="R101" s="7">
        <f t="shared" si="3"/>
        <v>3.5894645846607602</v>
      </c>
      <c r="S101" s="7">
        <f t="shared" si="4"/>
        <v>4.8306394489457087</v>
      </c>
      <c r="W101" s="7"/>
    </row>
    <row r="102" spans="1:23" x14ac:dyDescent="0.4">
      <c r="A102" s="1" t="s">
        <v>2</v>
      </c>
      <c r="B102" s="1">
        <v>2089</v>
      </c>
      <c r="C102" s="1">
        <v>12.32260241</v>
      </c>
      <c r="D102" s="1">
        <v>1.4515588370000001</v>
      </c>
      <c r="E102" s="1">
        <f t="shared" si="5"/>
        <v>10.871043573</v>
      </c>
      <c r="F102" s="4">
        <v>654000000</v>
      </c>
      <c r="G102" s="8">
        <v>872000000</v>
      </c>
      <c r="H102" s="1">
        <v>9.5771012169999992</v>
      </c>
      <c r="I102" s="1">
        <v>12.702838180000001</v>
      </c>
      <c r="J102" s="1">
        <v>11.1399697</v>
      </c>
      <c r="K102" s="1">
        <v>69</v>
      </c>
      <c r="L102" s="1">
        <v>257</v>
      </c>
      <c r="M102" s="1">
        <v>326</v>
      </c>
      <c r="N102" s="6">
        <v>3.1798809669134167</v>
      </c>
      <c r="O102" s="6">
        <f t="shared" si="1"/>
        <v>2.7337634390640773</v>
      </c>
      <c r="P102" s="6">
        <f t="shared" si="2"/>
        <v>3.6259984939064123</v>
      </c>
      <c r="Q102" s="7">
        <v>4.184892358307879</v>
      </c>
      <c r="R102" s="7">
        <f t="shared" si="3"/>
        <v>3.5977779811882602</v>
      </c>
      <c r="S102" s="7">
        <f t="shared" si="4"/>
        <v>4.7720067343005041</v>
      </c>
      <c r="W102" s="7"/>
    </row>
    <row r="103" spans="1:23" x14ac:dyDescent="0.4">
      <c r="A103" s="1" t="s">
        <v>2</v>
      </c>
      <c r="B103" s="1">
        <v>2090</v>
      </c>
      <c r="C103" s="1">
        <v>12.365203599999999</v>
      </c>
      <c r="D103" s="1">
        <v>1.359828485</v>
      </c>
      <c r="E103" s="1">
        <f t="shared" si="5"/>
        <v>11.005375115</v>
      </c>
      <c r="F103" s="4">
        <v>654000000</v>
      </c>
      <c r="G103" s="8">
        <v>872000000</v>
      </c>
      <c r="H103" s="1">
        <v>9.6468924170000001</v>
      </c>
      <c r="I103" s="1">
        <v>12.742479060000001</v>
      </c>
      <c r="J103" s="1">
        <v>11.194685740000001</v>
      </c>
      <c r="K103" s="1">
        <v>69</v>
      </c>
      <c r="L103" s="1">
        <v>257</v>
      </c>
      <c r="M103" s="1">
        <v>327</v>
      </c>
      <c r="N103" s="6">
        <v>3.1985226736551979</v>
      </c>
      <c r="O103" s="6">
        <f t="shared" si="1"/>
        <v>2.7562903365688309</v>
      </c>
      <c r="P103" s="6">
        <f t="shared" si="2"/>
        <v>3.6407550098844106</v>
      </c>
      <c r="Q103" s="7">
        <v>4.2164830659181289</v>
      </c>
      <c r="R103" s="7">
        <f t="shared" si="3"/>
        <v>3.6335060634774465</v>
      </c>
      <c r="S103" s="7">
        <f t="shared" si="4"/>
        <v>4.7994600672288596</v>
      </c>
      <c r="W103" s="7"/>
    </row>
    <row r="104" spans="1:23" x14ac:dyDescent="0.4">
      <c r="A104" s="1" t="s">
        <v>2</v>
      </c>
      <c r="B104" s="1">
        <v>2091</v>
      </c>
      <c r="C104" s="1">
        <v>12.36793694</v>
      </c>
      <c r="D104" s="1">
        <v>1.3898979090000001</v>
      </c>
      <c r="E104" s="1">
        <f t="shared" si="5"/>
        <v>10.978039031</v>
      </c>
      <c r="F104" s="4">
        <v>654000000</v>
      </c>
      <c r="G104" s="8">
        <v>872000000</v>
      </c>
      <c r="H104" s="1">
        <v>9.6339181590000003</v>
      </c>
      <c r="I104" s="1">
        <v>12.69120655</v>
      </c>
      <c r="J104" s="1">
        <v>11.162562360000001</v>
      </c>
      <c r="K104" s="1">
        <v>69</v>
      </c>
      <c r="L104" s="1">
        <v>257</v>
      </c>
      <c r="M104" s="1">
        <v>328</v>
      </c>
      <c r="N104" s="6">
        <v>3.1939316784500789</v>
      </c>
      <c r="O104" s="6">
        <f t="shared" ref="O104:O167" si="6">N104*H104/J104</f>
        <v>2.7565423962053068</v>
      </c>
      <c r="P104" s="6">
        <f t="shared" ref="P104:P167" si="7">N104*I104/J104</f>
        <v>3.6313209575474326</v>
      </c>
      <c r="Q104" s="7">
        <v>4.2089911657014625</v>
      </c>
      <c r="R104" s="7">
        <f t="shared" ref="R104:R113" si="8">Q104*H104/J104</f>
        <v>3.6325957351535809</v>
      </c>
      <c r="S104" s="7">
        <f t="shared" ref="S104:S113" si="9">Q104*I104/J104</f>
        <v>4.7853865921016485</v>
      </c>
      <c r="W104" s="7"/>
    </row>
    <row r="105" spans="1:23" x14ac:dyDescent="0.4">
      <c r="A105" s="1" t="s">
        <v>2</v>
      </c>
      <c r="B105" s="1">
        <v>2092</v>
      </c>
      <c r="C105" s="1">
        <v>12.348867739999999</v>
      </c>
      <c r="D105" s="1">
        <v>1.326715343</v>
      </c>
      <c r="E105" s="1">
        <f t="shared" si="5"/>
        <v>11.022152396999999</v>
      </c>
      <c r="F105" s="4">
        <v>654000000</v>
      </c>
      <c r="G105" s="8">
        <v>872000000</v>
      </c>
      <c r="H105" s="1">
        <v>9.7770189550000008</v>
      </c>
      <c r="I105" s="1">
        <v>12.76778552</v>
      </c>
      <c r="J105" s="1">
        <v>11.27240224</v>
      </c>
      <c r="K105" s="1">
        <v>69</v>
      </c>
      <c r="L105" s="1">
        <v>257</v>
      </c>
      <c r="M105" s="1">
        <v>328</v>
      </c>
      <c r="N105" s="6">
        <v>3.1994483173208441</v>
      </c>
      <c r="O105" s="6">
        <f t="shared" si="6"/>
        <v>2.775013362545582</v>
      </c>
      <c r="P105" s="6">
        <f t="shared" si="7"/>
        <v>3.6238832706769557</v>
      </c>
      <c r="Q105" s="7">
        <v>4.2185584348100109</v>
      </c>
      <c r="R105" s="7">
        <f t="shared" si="8"/>
        <v>3.6589295610438235</v>
      </c>
      <c r="S105" s="7">
        <f t="shared" si="9"/>
        <v>4.7781873067050098</v>
      </c>
      <c r="W105" s="7"/>
    </row>
    <row r="106" spans="1:23" x14ac:dyDescent="0.4">
      <c r="A106" s="1" t="s">
        <v>2</v>
      </c>
      <c r="B106" s="1">
        <v>2093</v>
      </c>
      <c r="C106" s="1">
        <v>12.329894810000001</v>
      </c>
      <c r="D106" s="1">
        <v>1.31868506</v>
      </c>
      <c r="E106" s="1">
        <f t="shared" si="5"/>
        <v>11.011209750000001</v>
      </c>
      <c r="F106" s="4">
        <v>654000000</v>
      </c>
      <c r="G106" s="8">
        <v>872000000</v>
      </c>
      <c r="H106" s="1">
        <v>9.7474155600000003</v>
      </c>
      <c r="I106" s="1">
        <v>12.54199779</v>
      </c>
      <c r="J106" s="1">
        <v>11.14470667</v>
      </c>
      <c r="K106" s="1">
        <v>69</v>
      </c>
      <c r="L106" s="1">
        <v>257</v>
      </c>
      <c r="M106" s="1">
        <v>329</v>
      </c>
      <c r="N106" s="6">
        <v>3.1976800139671666</v>
      </c>
      <c r="O106" s="6">
        <f t="shared" si="6"/>
        <v>2.7967641362825191</v>
      </c>
      <c r="P106" s="6">
        <f t="shared" si="7"/>
        <v>3.5985958945210506</v>
      </c>
      <c r="Q106" s="7">
        <v>4.2156520558920567</v>
      </c>
      <c r="R106" s="7">
        <f t="shared" si="8"/>
        <v>3.6871057859029523</v>
      </c>
      <c r="S106" s="7">
        <f t="shared" si="9"/>
        <v>4.7441983296638108</v>
      </c>
      <c r="W106" s="7"/>
    </row>
    <row r="107" spans="1:23" x14ac:dyDescent="0.4">
      <c r="A107" s="1" t="s">
        <v>2</v>
      </c>
      <c r="B107" s="1">
        <v>2094</v>
      </c>
      <c r="C107" s="1">
        <v>12.285328939999999</v>
      </c>
      <c r="D107" s="1">
        <v>1.313558499</v>
      </c>
      <c r="E107" s="1">
        <f t="shared" si="5"/>
        <v>10.971770441</v>
      </c>
      <c r="F107" s="4">
        <v>654000000</v>
      </c>
      <c r="G107" s="8">
        <v>872000000</v>
      </c>
      <c r="H107" s="1">
        <v>9.716015273</v>
      </c>
      <c r="I107" s="1">
        <v>12.459027580000001</v>
      </c>
      <c r="J107" s="1">
        <v>11.087521430000001</v>
      </c>
      <c r="K107" s="1">
        <v>69</v>
      </c>
      <c r="L107" s="1">
        <v>257</v>
      </c>
      <c r="M107" s="1">
        <v>330</v>
      </c>
      <c r="N107" s="6">
        <v>3.1903174295920067</v>
      </c>
      <c r="O107" s="6">
        <f t="shared" si="6"/>
        <v>2.7956809885177409</v>
      </c>
      <c r="P107" s="6">
        <f t="shared" si="7"/>
        <v>3.5849538686520956</v>
      </c>
      <c r="Q107" s="7">
        <v>4.203857873416073</v>
      </c>
      <c r="R107" s="7">
        <f t="shared" si="8"/>
        <v>3.6838483299898219</v>
      </c>
      <c r="S107" s="7">
        <f t="shared" si="9"/>
        <v>4.7238674141882582</v>
      </c>
      <c r="W107" s="7"/>
    </row>
    <row r="108" spans="1:23" x14ac:dyDescent="0.4">
      <c r="A108" s="1" t="s">
        <v>2</v>
      </c>
      <c r="B108" s="1">
        <v>2095</v>
      </c>
      <c r="C108" s="1">
        <v>12.268068789999999</v>
      </c>
      <c r="D108" s="1">
        <v>1.3237050909999999</v>
      </c>
      <c r="E108" s="1">
        <f t="shared" si="5"/>
        <v>10.944363699</v>
      </c>
      <c r="F108" s="4">
        <v>654000000</v>
      </c>
      <c r="G108" s="8">
        <v>872000000</v>
      </c>
      <c r="H108" s="1">
        <v>9.6963109430000003</v>
      </c>
      <c r="I108" s="1">
        <v>12.73642682</v>
      </c>
      <c r="J108" s="1">
        <v>11.216368879999999</v>
      </c>
      <c r="K108" s="1">
        <v>69</v>
      </c>
      <c r="L108" s="1">
        <v>257</v>
      </c>
      <c r="M108" s="1">
        <v>331</v>
      </c>
      <c r="N108" s="6">
        <v>3.1840023168051803</v>
      </c>
      <c r="O108" s="6">
        <f t="shared" si="6"/>
        <v>2.7525018869542945</v>
      </c>
      <c r="P108" s="6">
        <f t="shared" si="7"/>
        <v>3.61550274750768</v>
      </c>
      <c r="Q108" s="7">
        <v>4.1940636071148587</v>
      </c>
      <c r="R108" s="7">
        <f t="shared" si="8"/>
        <v>3.6256782640074743</v>
      </c>
      <c r="S108" s="7">
        <f t="shared" si="9"/>
        <v>4.7624489513440142</v>
      </c>
      <c r="W108" s="7"/>
    </row>
    <row r="109" spans="1:23" x14ac:dyDescent="0.4">
      <c r="A109" s="1" t="s">
        <v>2</v>
      </c>
      <c r="B109" s="1">
        <v>2096</v>
      </c>
      <c r="C109" s="1">
        <v>12.27032648</v>
      </c>
      <c r="D109" s="1">
        <v>1.301905841</v>
      </c>
      <c r="E109" s="1">
        <f t="shared" si="5"/>
        <v>10.968420639</v>
      </c>
      <c r="F109" s="4">
        <v>654000000</v>
      </c>
      <c r="G109" s="8">
        <v>872000000</v>
      </c>
      <c r="H109" s="1">
        <v>9.4505495390000007</v>
      </c>
      <c r="I109" s="1">
        <v>12.577299460000001</v>
      </c>
      <c r="J109" s="1">
        <v>11.0139245</v>
      </c>
      <c r="K109" s="1">
        <v>69</v>
      </c>
      <c r="L109" s="1">
        <v>257</v>
      </c>
      <c r="M109" s="1">
        <v>331</v>
      </c>
      <c r="N109" s="6">
        <v>3.1855688601716508</v>
      </c>
      <c r="O109" s="6">
        <f t="shared" si="6"/>
        <v>2.7333922910900608</v>
      </c>
      <c r="P109" s="6">
        <f t="shared" si="7"/>
        <v>3.6377454289640099</v>
      </c>
      <c r="Q109" s="7">
        <v>4.1973584955543561</v>
      </c>
      <c r="R109" s="7">
        <f t="shared" si="8"/>
        <v>3.6015631299432784</v>
      </c>
      <c r="S109" s="7">
        <f t="shared" si="9"/>
        <v>4.7931538607843391</v>
      </c>
      <c r="W109" s="7"/>
    </row>
    <row r="110" spans="1:23" x14ac:dyDescent="0.4">
      <c r="A110" s="1" t="s">
        <v>2</v>
      </c>
      <c r="B110" s="1">
        <v>2097</v>
      </c>
      <c r="C110" s="1">
        <v>12.30894333</v>
      </c>
      <c r="D110" s="1">
        <v>1.2943899990000001</v>
      </c>
      <c r="E110" s="1">
        <f t="shared" si="5"/>
        <v>11.014553331</v>
      </c>
      <c r="F110" s="4">
        <v>654000000</v>
      </c>
      <c r="G110" s="8">
        <v>872000000</v>
      </c>
      <c r="H110" s="1">
        <v>10.07064293</v>
      </c>
      <c r="I110" s="1">
        <v>12.92933899</v>
      </c>
      <c r="J110" s="1">
        <v>11.49999096</v>
      </c>
      <c r="K110" s="1">
        <v>69</v>
      </c>
      <c r="L110" s="1">
        <v>257</v>
      </c>
      <c r="M110" s="1">
        <v>332</v>
      </c>
      <c r="N110" s="6">
        <v>3.1921692525202339</v>
      </c>
      <c r="O110" s="6">
        <f t="shared" si="6"/>
        <v>2.7954106073711449</v>
      </c>
      <c r="P110" s="6">
        <f t="shared" si="7"/>
        <v>3.5889278976693224</v>
      </c>
      <c r="Q110" s="7">
        <v>4.2084720140229797</v>
      </c>
      <c r="R110" s="7">
        <f t="shared" si="8"/>
        <v>3.6853958478349429</v>
      </c>
      <c r="S110" s="7">
        <f t="shared" si="9"/>
        <v>4.731548180211016</v>
      </c>
      <c r="W110" s="7"/>
    </row>
    <row r="111" spans="1:23" x14ac:dyDescent="0.4">
      <c r="A111" s="1" t="s">
        <v>2</v>
      </c>
      <c r="B111" s="1">
        <v>2098</v>
      </c>
      <c r="C111" s="1">
        <v>12.32538656</v>
      </c>
      <c r="D111" s="1">
        <v>1.3168055009999999</v>
      </c>
      <c r="E111" s="1">
        <f t="shared" si="5"/>
        <v>11.008581059000001</v>
      </c>
      <c r="F111" s="4">
        <v>654000000</v>
      </c>
      <c r="G111" s="8">
        <v>872000000</v>
      </c>
      <c r="H111" s="1">
        <v>9.8893002600000006</v>
      </c>
      <c r="I111" s="1">
        <v>12.799462950000001</v>
      </c>
      <c r="J111" s="1">
        <v>11.344381609999999</v>
      </c>
      <c r="K111" s="1">
        <v>69</v>
      </c>
      <c r="L111" s="1">
        <v>257</v>
      </c>
      <c r="M111" s="1">
        <v>333</v>
      </c>
      <c r="N111" s="6">
        <v>3.1906006037515704</v>
      </c>
      <c r="O111" s="6">
        <f t="shared" si="6"/>
        <v>2.7813598365223338</v>
      </c>
      <c r="P111" s="6">
        <f t="shared" si="7"/>
        <v>3.5998413681683141</v>
      </c>
      <c r="Q111" s="7">
        <v>4.2060810452795154</v>
      </c>
      <c r="R111" s="7">
        <f t="shared" si="8"/>
        <v>3.6665901945680219</v>
      </c>
      <c r="S111" s="7">
        <f t="shared" si="9"/>
        <v>4.7455718922833761</v>
      </c>
      <c r="W111" s="7"/>
    </row>
    <row r="112" spans="1:23" x14ac:dyDescent="0.4">
      <c r="A112" s="1" t="s">
        <v>2</v>
      </c>
      <c r="B112" s="1">
        <v>2099</v>
      </c>
      <c r="C112" s="1">
        <v>12.355228739999999</v>
      </c>
      <c r="D112" s="1">
        <v>1.3365960960000001</v>
      </c>
      <c r="E112" s="1">
        <f t="shared" si="5"/>
        <v>11.018632644</v>
      </c>
      <c r="F112" s="4">
        <v>654000000</v>
      </c>
      <c r="G112" s="8">
        <v>872000000</v>
      </c>
      <c r="H112" s="1">
        <v>9.8655022779999992</v>
      </c>
      <c r="I112" s="1">
        <v>12.80069001</v>
      </c>
      <c r="J112" s="1">
        <v>11.33309614</v>
      </c>
      <c r="K112" s="1">
        <v>69</v>
      </c>
      <c r="L112" s="1">
        <v>257</v>
      </c>
      <c r="M112" s="1">
        <v>334</v>
      </c>
      <c r="N112" s="6">
        <v>3.1908491785687425</v>
      </c>
      <c r="O112" s="6">
        <f t="shared" si="6"/>
        <v>2.7776460599163642</v>
      </c>
      <c r="P112" s="6">
        <f t="shared" si="7"/>
        <v>3.6040522994735316</v>
      </c>
      <c r="Q112" s="7">
        <v>4.2069164435232507</v>
      </c>
      <c r="R112" s="7">
        <f t="shared" si="8"/>
        <v>3.6621363874651012</v>
      </c>
      <c r="S112" s="7">
        <f t="shared" si="9"/>
        <v>4.7516965025510496</v>
      </c>
      <c r="W112" s="7"/>
    </row>
    <row r="113" spans="1:23" x14ac:dyDescent="0.4">
      <c r="A113" s="1" t="s">
        <v>2</v>
      </c>
      <c r="B113" s="1">
        <v>2100</v>
      </c>
      <c r="C113" s="1">
        <v>12.31098867</v>
      </c>
      <c r="D113" s="1">
        <v>1.392918654</v>
      </c>
      <c r="E113" s="1">
        <f t="shared" si="5"/>
        <v>10.918070016</v>
      </c>
      <c r="F113" s="4">
        <v>654000000</v>
      </c>
      <c r="G113" s="8">
        <v>872000000</v>
      </c>
      <c r="H113" s="1">
        <v>9.8815887379999996</v>
      </c>
      <c r="I113" s="1">
        <v>12.64582755</v>
      </c>
      <c r="J113" s="1">
        <v>11.26370814</v>
      </c>
      <c r="K113" s="1">
        <v>69</v>
      </c>
      <c r="L113" s="1">
        <v>257</v>
      </c>
      <c r="M113" s="1">
        <v>334</v>
      </c>
      <c r="N113" s="6">
        <v>3.173694788455844</v>
      </c>
      <c r="O113" s="6">
        <f t="shared" si="6"/>
        <v>2.7842648521834445</v>
      </c>
      <c r="P113" s="6">
        <f t="shared" si="7"/>
        <v>3.5631247269823465</v>
      </c>
      <c r="Q113" s="7">
        <v>4.1790019264812752</v>
      </c>
      <c r="R113" s="7">
        <f t="shared" si="8"/>
        <v>3.666215233875695</v>
      </c>
      <c r="S113" s="7">
        <f t="shared" si="9"/>
        <v>4.6917886220549736</v>
      </c>
      <c r="W113" s="7"/>
    </row>
    <row r="114" spans="1:23" x14ac:dyDescent="0.4">
      <c r="A114" s="1" t="s">
        <v>3</v>
      </c>
      <c r="B114" s="1">
        <v>1989</v>
      </c>
      <c r="C114" s="1">
        <v>15.766</v>
      </c>
      <c r="D114" s="1">
        <v>6.8879999999999999</v>
      </c>
      <c r="E114" s="1">
        <f t="shared" si="5"/>
        <v>8.8780000000000001</v>
      </c>
      <c r="F114" s="4">
        <v>436000000</v>
      </c>
      <c r="G114" s="8">
        <v>436000000</v>
      </c>
      <c r="K114" s="1">
        <v>65</v>
      </c>
      <c r="L114" s="1">
        <v>265</v>
      </c>
      <c r="M114" s="1">
        <v>265</v>
      </c>
      <c r="N114" s="6">
        <v>2.1932364281074981</v>
      </c>
      <c r="O114" s="6"/>
      <c r="P114" s="6"/>
      <c r="Q114" s="7">
        <v>2.1932364281074981</v>
      </c>
      <c r="R114" s="7"/>
      <c r="S114" s="7"/>
      <c r="W114" s="7"/>
    </row>
    <row r="115" spans="1:23" x14ac:dyDescent="0.4">
      <c r="A115" s="1" t="s">
        <v>3</v>
      </c>
      <c r="B115" s="1">
        <v>1990</v>
      </c>
      <c r="C115" s="1">
        <v>16.248999999999999</v>
      </c>
      <c r="D115" s="1">
        <v>6.0110000000000001</v>
      </c>
      <c r="E115" s="1">
        <f t="shared" si="5"/>
        <v>10.238</v>
      </c>
      <c r="F115" s="4">
        <v>436000000</v>
      </c>
      <c r="G115" s="8">
        <v>436000000</v>
      </c>
      <c r="K115" s="1">
        <v>71</v>
      </c>
      <c r="L115" s="1">
        <v>264</v>
      </c>
      <c r="M115" s="1">
        <v>264</v>
      </c>
      <c r="N115" s="6">
        <v>2.230296978880848</v>
      </c>
      <c r="O115" s="6"/>
      <c r="P115" s="6"/>
      <c r="Q115" s="7">
        <v>2.230296978880848</v>
      </c>
      <c r="R115" s="7"/>
      <c r="S115" s="7"/>
      <c r="W115" s="7"/>
    </row>
    <row r="116" spans="1:23" x14ac:dyDescent="0.4">
      <c r="A116" s="1" t="s">
        <v>3</v>
      </c>
      <c r="B116" s="1">
        <v>1991</v>
      </c>
      <c r="C116" s="1">
        <v>15.647</v>
      </c>
      <c r="D116" s="1">
        <v>6.2590000000000003</v>
      </c>
      <c r="E116" s="1">
        <f t="shared" si="5"/>
        <v>9.3879999999999999</v>
      </c>
      <c r="F116" s="4">
        <v>436000000</v>
      </c>
      <c r="G116" s="8">
        <v>436000000</v>
      </c>
      <c r="K116" s="1">
        <v>56</v>
      </c>
      <c r="L116" s="1">
        <v>259</v>
      </c>
      <c r="M116" s="1">
        <v>259</v>
      </c>
      <c r="N116" s="6">
        <v>2.1869691879278892</v>
      </c>
      <c r="O116" s="6"/>
      <c r="P116" s="6"/>
      <c r="Q116" s="7">
        <v>2.1869691879278892</v>
      </c>
      <c r="R116" s="7"/>
      <c r="S116" s="7"/>
      <c r="W116" s="7"/>
    </row>
    <row r="117" spans="1:23" x14ac:dyDescent="0.4">
      <c r="A117" s="1" t="s">
        <v>3</v>
      </c>
      <c r="B117" s="1">
        <v>1992</v>
      </c>
      <c r="C117" s="1">
        <v>15.576000000000001</v>
      </c>
      <c r="D117" s="1">
        <v>7.1589999999999998</v>
      </c>
      <c r="E117" s="1">
        <f t="shared" si="5"/>
        <v>8.4170000000000016</v>
      </c>
      <c r="F117" s="4">
        <v>436000000</v>
      </c>
      <c r="G117" s="8">
        <v>436000000</v>
      </c>
      <c r="K117" s="1">
        <v>72</v>
      </c>
      <c r="L117" s="1">
        <v>251</v>
      </c>
      <c r="M117" s="1">
        <v>251</v>
      </c>
      <c r="N117" s="6">
        <v>2.1267693423680427</v>
      </c>
      <c r="O117" s="6"/>
      <c r="P117" s="6"/>
      <c r="Q117" s="7">
        <v>2.1267693423680427</v>
      </c>
      <c r="R117" s="7"/>
      <c r="S117" s="7"/>
      <c r="W117" s="7"/>
    </row>
    <row r="118" spans="1:23" x14ac:dyDescent="0.4">
      <c r="A118" s="1" t="s">
        <v>3</v>
      </c>
      <c r="B118" s="1">
        <v>1993</v>
      </c>
      <c r="C118" s="1">
        <v>16.047999999999998</v>
      </c>
      <c r="D118" s="1">
        <v>6.1609999999999996</v>
      </c>
      <c r="E118" s="1">
        <f t="shared" si="5"/>
        <v>9.8869999999999987</v>
      </c>
      <c r="F118" s="4">
        <v>436000000</v>
      </c>
      <c r="G118" s="8">
        <v>436000000</v>
      </c>
      <c r="K118" s="1">
        <v>72</v>
      </c>
      <c r="L118" s="1">
        <v>256</v>
      </c>
      <c r="M118" s="1">
        <v>260</v>
      </c>
      <c r="N118" s="6">
        <v>2.2113402428424003</v>
      </c>
      <c r="O118" s="6"/>
      <c r="P118" s="6"/>
      <c r="Q118" s="7">
        <v>2.2113402428424003</v>
      </c>
      <c r="R118" s="7"/>
      <c r="S118" s="7"/>
      <c r="W118" s="7"/>
    </row>
    <row r="119" spans="1:23" x14ac:dyDescent="0.4">
      <c r="A119" s="1" t="s">
        <v>3</v>
      </c>
      <c r="B119" s="1">
        <v>1994</v>
      </c>
      <c r="C119" s="1">
        <v>15.77</v>
      </c>
      <c r="D119" s="1">
        <v>6.9340000000000002</v>
      </c>
      <c r="E119" s="1">
        <f t="shared" si="5"/>
        <v>8.8359999999999985</v>
      </c>
      <c r="F119" s="4">
        <v>436000000</v>
      </c>
      <c r="G119" s="8">
        <v>436000000</v>
      </c>
      <c r="K119" s="1">
        <v>52</v>
      </c>
      <c r="L119" s="1">
        <v>248</v>
      </c>
      <c r="M119" s="1">
        <v>252</v>
      </c>
      <c r="N119" s="6">
        <v>2.1492655476971407</v>
      </c>
      <c r="O119" s="6"/>
      <c r="P119" s="6"/>
      <c r="Q119" s="7">
        <v>2.1492655476971407</v>
      </c>
      <c r="R119" s="7"/>
      <c r="S119" s="7"/>
      <c r="W119" s="7"/>
    </row>
    <row r="120" spans="1:23" x14ac:dyDescent="0.4">
      <c r="A120" s="1" t="s">
        <v>3</v>
      </c>
      <c r="B120" s="1">
        <v>1995</v>
      </c>
      <c r="C120" s="1">
        <v>15.384</v>
      </c>
      <c r="D120" s="1">
        <v>6.0119999999999996</v>
      </c>
      <c r="E120" s="1">
        <f t="shared" si="5"/>
        <v>9.3719999999999999</v>
      </c>
      <c r="F120" s="4">
        <v>436000000</v>
      </c>
      <c r="G120" s="8">
        <v>436000000</v>
      </c>
      <c r="K120" s="1">
        <v>90</v>
      </c>
      <c r="L120" s="1">
        <v>247</v>
      </c>
      <c r="M120" s="1">
        <v>271</v>
      </c>
      <c r="N120" s="6">
        <v>2.1827454572921394</v>
      </c>
      <c r="O120" s="6"/>
      <c r="P120" s="6"/>
      <c r="Q120" s="7">
        <v>2.1827454572921394</v>
      </c>
      <c r="R120" s="7"/>
      <c r="S120" s="7"/>
      <c r="W120" s="7"/>
    </row>
    <row r="121" spans="1:23" x14ac:dyDescent="0.4">
      <c r="A121" s="1" t="s">
        <v>3</v>
      </c>
      <c r="B121" s="1">
        <v>1996</v>
      </c>
      <c r="C121" s="1">
        <v>15.484</v>
      </c>
      <c r="D121" s="1">
        <v>7.1470000000000002</v>
      </c>
      <c r="E121" s="1">
        <f t="shared" si="5"/>
        <v>8.3369999999999997</v>
      </c>
      <c r="F121" s="4">
        <v>436000000</v>
      </c>
      <c r="G121" s="8">
        <v>436000000</v>
      </c>
      <c r="K121" s="1">
        <v>52</v>
      </c>
      <c r="L121" s="1">
        <v>254</v>
      </c>
      <c r="M121" s="1">
        <v>254</v>
      </c>
      <c r="N121" s="6">
        <v>2.1079391602627262</v>
      </c>
      <c r="O121" s="6"/>
      <c r="P121" s="6"/>
      <c r="Q121" s="7">
        <v>2.1079391602627262</v>
      </c>
      <c r="R121" s="7"/>
      <c r="S121" s="7"/>
      <c r="W121" s="7"/>
    </row>
    <row r="122" spans="1:23" x14ac:dyDescent="0.4">
      <c r="A122" s="1" t="s">
        <v>3</v>
      </c>
      <c r="B122" s="1">
        <v>1997</v>
      </c>
      <c r="C122" s="1">
        <v>15.683999999999999</v>
      </c>
      <c r="D122" s="1">
        <v>6.6020000000000003</v>
      </c>
      <c r="E122" s="1">
        <f t="shared" si="5"/>
        <v>9.081999999999999</v>
      </c>
      <c r="F122" s="4">
        <v>436000000</v>
      </c>
      <c r="G122" s="8">
        <v>436000000</v>
      </c>
      <c r="K122" s="1">
        <v>79</v>
      </c>
      <c r="L122" s="1">
        <v>246</v>
      </c>
      <c r="M122" s="1">
        <v>262</v>
      </c>
      <c r="N122" s="6">
        <v>2.1526674744797347</v>
      </c>
      <c r="O122" s="6"/>
      <c r="P122" s="6"/>
      <c r="Q122" s="7">
        <v>2.1526674744797347</v>
      </c>
      <c r="R122" s="7"/>
      <c r="S122" s="7"/>
      <c r="W122" s="7"/>
    </row>
    <row r="123" spans="1:23" x14ac:dyDescent="0.4">
      <c r="A123" s="1" t="s">
        <v>3</v>
      </c>
      <c r="B123" s="1">
        <v>1998</v>
      </c>
      <c r="C123" s="1">
        <v>16.07</v>
      </c>
      <c r="D123" s="1">
        <v>6.2930000000000001</v>
      </c>
      <c r="E123" s="1">
        <f t="shared" si="5"/>
        <v>9.777000000000001</v>
      </c>
      <c r="F123" s="4">
        <v>436000000</v>
      </c>
      <c r="G123" s="8">
        <v>436000000</v>
      </c>
      <c r="K123" s="1">
        <v>56</v>
      </c>
      <c r="L123" s="1">
        <v>260</v>
      </c>
      <c r="M123" s="1">
        <v>260</v>
      </c>
      <c r="N123" s="6">
        <v>2.1921763157257073</v>
      </c>
      <c r="O123" s="6"/>
      <c r="P123" s="6"/>
      <c r="Q123" s="7">
        <v>2.1921763157257073</v>
      </c>
      <c r="R123" s="7"/>
      <c r="S123" s="7"/>
      <c r="W123" s="7"/>
    </row>
    <row r="124" spans="1:23" x14ac:dyDescent="0.4">
      <c r="A124" s="1" t="s">
        <v>3</v>
      </c>
      <c r="B124" s="1">
        <v>1999</v>
      </c>
      <c r="C124" s="1">
        <v>15.627000000000001</v>
      </c>
      <c r="D124" s="1">
        <v>5.6760000000000002</v>
      </c>
      <c r="E124" s="1">
        <f t="shared" si="5"/>
        <v>9.9510000000000005</v>
      </c>
      <c r="F124" s="4">
        <v>436000000</v>
      </c>
      <c r="G124" s="8">
        <v>436000000</v>
      </c>
      <c r="K124" s="1">
        <v>89</v>
      </c>
      <c r="L124" s="1">
        <v>255</v>
      </c>
      <c r="M124" s="1">
        <v>259</v>
      </c>
      <c r="N124" s="6">
        <v>2.2239154540312103</v>
      </c>
      <c r="O124" s="6"/>
      <c r="P124" s="6"/>
      <c r="Q124" s="7">
        <v>2.2239154540312103</v>
      </c>
      <c r="R124" s="7"/>
      <c r="S124" s="7"/>
      <c r="W124" s="7"/>
    </row>
    <row r="125" spans="1:23" x14ac:dyDescent="0.4">
      <c r="A125" s="1" t="s">
        <v>3</v>
      </c>
      <c r="B125" s="1">
        <v>2000</v>
      </c>
      <c r="C125" s="1">
        <v>15.497999999999999</v>
      </c>
      <c r="D125" s="1">
        <v>5.9429999999999996</v>
      </c>
      <c r="E125" s="1">
        <f t="shared" si="5"/>
        <v>9.5549999999999997</v>
      </c>
      <c r="F125" s="4">
        <v>436000000</v>
      </c>
      <c r="G125" s="8">
        <v>436000000</v>
      </c>
      <c r="K125" s="1">
        <v>63</v>
      </c>
      <c r="L125" s="1">
        <v>255</v>
      </c>
      <c r="M125" s="1">
        <v>257</v>
      </c>
      <c r="N125" s="6">
        <v>2.2008745892266419</v>
      </c>
      <c r="O125" s="6"/>
      <c r="P125" s="6"/>
      <c r="Q125" s="7">
        <v>2.2008745892266419</v>
      </c>
      <c r="R125" s="7"/>
      <c r="S125" s="7"/>
      <c r="W125" s="7"/>
    </row>
    <row r="126" spans="1:23" x14ac:dyDescent="0.4">
      <c r="A126" s="1" t="s">
        <v>3</v>
      </c>
      <c r="B126" s="1">
        <v>2001</v>
      </c>
      <c r="C126" s="1">
        <v>15.742000000000001</v>
      </c>
      <c r="D126" s="1">
        <v>6.5670000000000002</v>
      </c>
      <c r="E126" s="1">
        <f t="shared" si="5"/>
        <v>9.1750000000000007</v>
      </c>
      <c r="F126" s="4">
        <v>436000000</v>
      </c>
      <c r="G126" s="8">
        <v>436000000</v>
      </c>
      <c r="K126" s="1">
        <v>63</v>
      </c>
      <c r="L126" s="1">
        <v>262</v>
      </c>
      <c r="M126" s="1">
        <v>262</v>
      </c>
      <c r="N126" s="6">
        <v>2.1735770962807495</v>
      </c>
      <c r="O126" s="6"/>
      <c r="P126" s="6"/>
      <c r="Q126" s="7">
        <v>2.1735770962807495</v>
      </c>
      <c r="R126" s="7"/>
      <c r="S126" s="7"/>
      <c r="W126" s="7"/>
    </row>
    <row r="127" spans="1:23" x14ac:dyDescent="0.4">
      <c r="A127" s="1" t="s">
        <v>3</v>
      </c>
      <c r="B127" s="1">
        <v>2002</v>
      </c>
      <c r="C127" s="1">
        <v>15.624000000000001</v>
      </c>
      <c r="D127" s="1">
        <v>5.625</v>
      </c>
      <c r="E127" s="1">
        <f t="shared" si="5"/>
        <v>9.9990000000000006</v>
      </c>
      <c r="F127" s="4">
        <v>436000000</v>
      </c>
      <c r="G127" s="8">
        <v>436000000</v>
      </c>
      <c r="K127" s="1">
        <v>68</v>
      </c>
      <c r="L127" s="1">
        <v>261</v>
      </c>
      <c r="M127" s="1">
        <v>263</v>
      </c>
      <c r="N127" s="6">
        <v>2.2245227179359417</v>
      </c>
      <c r="O127" s="6"/>
      <c r="P127" s="6"/>
      <c r="Q127" s="7">
        <v>2.2245227179359417</v>
      </c>
      <c r="R127" s="7"/>
      <c r="S127" s="7"/>
      <c r="W127" s="7"/>
    </row>
    <row r="128" spans="1:23" x14ac:dyDescent="0.4">
      <c r="A128" s="1" t="s">
        <v>3</v>
      </c>
      <c r="B128" s="1">
        <v>2003</v>
      </c>
      <c r="C128" s="1">
        <v>15.629</v>
      </c>
      <c r="D128" s="1">
        <v>5.9690000000000003</v>
      </c>
      <c r="E128" s="1">
        <f t="shared" si="5"/>
        <v>9.66</v>
      </c>
      <c r="F128" s="4">
        <v>436000000</v>
      </c>
      <c r="G128" s="8">
        <v>436000000</v>
      </c>
      <c r="K128" s="1">
        <v>79</v>
      </c>
      <c r="L128" s="1">
        <v>260</v>
      </c>
      <c r="M128" s="1">
        <v>264</v>
      </c>
      <c r="N128" s="6">
        <v>2.2105633430634231</v>
      </c>
      <c r="O128" s="6"/>
      <c r="P128" s="6"/>
      <c r="Q128" s="7">
        <v>2.2105633430634231</v>
      </c>
      <c r="R128" s="7"/>
      <c r="S128" s="7"/>
      <c r="W128" s="7"/>
    </row>
    <row r="129" spans="1:23" x14ac:dyDescent="0.4">
      <c r="A129" s="1" t="s">
        <v>3</v>
      </c>
      <c r="B129" s="1">
        <v>2004</v>
      </c>
      <c r="C129" s="1">
        <v>15.3</v>
      </c>
      <c r="D129" s="1">
        <v>5.77</v>
      </c>
      <c r="E129" s="1">
        <f t="shared" si="5"/>
        <v>9.5300000000000011</v>
      </c>
      <c r="F129" s="4">
        <v>436000000</v>
      </c>
      <c r="G129" s="8">
        <v>436000000</v>
      </c>
      <c r="K129" s="1">
        <v>70</v>
      </c>
      <c r="L129" s="1">
        <v>262</v>
      </c>
      <c r="M129" s="1">
        <v>264</v>
      </c>
      <c r="N129" s="6">
        <v>2.1989840628894526</v>
      </c>
      <c r="O129" s="6"/>
      <c r="P129" s="6"/>
      <c r="Q129" s="7">
        <v>2.1989840628894526</v>
      </c>
      <c r="R129" s="7"/>
      <c r="S129" s="7"/>
      <c r="W129" s="7"/>
    </row>
    <row r="130" spans="1:23" x14ac:dyDescent="0.4">
      <c r="A130" s="1" t="s">
        <v>3</v>
      </c>
      <c r="B130" s="1">
        <v>2005</v>
      </c>
      <c r="C130" s="1">
        <v>14.993</v>
      </c>
      <c r="D130" s="1">
        <v>5.3140000000000001</v>
      </c>
      <c r="E130" s="1">
        <f t="shared" si="5"/>
        <v>9.6790000000000003</v>
      </c>
      <c r="F130" s="4">
        <v>436000000</v>
      </c>
      <c r="G130" s="8">
        <v>436000000</v>
      </c>
      <c r="K130" s="1">
        <v>68</v>
      </c>
      <c r="L130" s="1">
        <v>263</v>
      </c>
      <c r="M130" s="1">
        <v>269</v>
      </c>
      <c r="N130" s="6">
        <v>2.2066025263906961</v>
      </c>
      <c r="O130" s="6"/>
      <c r="P130" s="6"/>
      <c r="Q130" s="7">
        <v>2.2066025263906961</v>
      </c>
      <c r="R130" s="7"/>
      <c r="S130" s="7"/>
      <c r="W130" s="7"/>
    </row>
    <row r="131" spans="1:23" x14ac:dyDescent="0.4">
      <c r="A131" s="1" t="s">
        <v>3</v>
      </c>
      <c r="B131" s="1">
        <v>2006</v>
      </c>
      <c r="C131" s="1">
        <v>14.776999999999999</v>
      </c>
      <c r="D131" s="1">
        <v>5.7460000000000004</v>
      </c>
      <c r="E131" s="1">
        <f t="shared" ref="E131:E194" si="10">C131-D131</f>
        <v>9.0309999999999988</v>
      </c>
      <c r="F131" s="4">
        <v>436000000</v>
      </c>
      <c r="G131" s="8">
        <v>436000000</v>
      </c>
      <c r="K131" s="1">
        <v>70</v>
      </c>
      <c r="L131" s="1">
        <v>257</v>
      </c>
      <c r="M131" s="1">
        <v>267</v>
      </c>
      <c r="N131" s="6">
        <v>2.1637713813231172</v>
      </c>
      <c r="O131" s="6"/>
      <c r="P131" s="6"/>
      <c r="Q131" s="7">
        <v>2.1637713813231172</v>
      </c>
      <c r="R131" s="7"/>
      <c r="S131" s="7"/>
      <c r="W131" s="7"/>
    </row>
    <row r="132" spans="1:23" x14ac:dyDescent="0.4">
      <c r="A132" s="1" t="s">
        <v>3</v>
      </c>
      <c r="B132" s="1">
        <v>2007</v>
      </c>
      <c r="C132" s="1">
        <v>14.842000000000001</v>
      </c>
      <c r="D132" s="1">
        <v>4.1470000000000002</v>
      </c>
      <c r="E132" s="1">
        <f t="shared" si="10"/>
        <v>10.695</v>
      </c>
      <c r="F132" s="4">
        <v>436000000</v>
      </c>
      <c r="G132" s="8">
        <v>436000000</v>
      </c>
      <c r="K132" s="1">
        <v>69</v>
      </c>
      <c r="L132" s="1">
        <v>257</v>
      </c>
      <c r="M132" s="1">
        <v>291</v>
      </c>
      <c r="N132" s="6">
        <v>2.2461140497166525</v>
      </c>
      <c r="O132" s="6"/>
      <c r="P132" s="6"/>
      <c r="Q132" s="7">
        <v>2.2461140497166525</v>
      </c>
      <c r="R132" s="7"/>
      <c r="S132" s="7"/>
      <c r="W132" s="7"/>
    </row>
    <row r="133" spans="1:23" x14ac:dyDescent="0.4">
      <c r="A133" s="1" t="s">
        <v>3</v>
      </c>
      <c r="B133" s="1">
        <v>2008</v>
      </c>
      <c r="C133" s="1">
        <v>15.353999999999999</v>
      </c>
      <c r="D133" s="1">
        <v>4.548</v>
      </c>
      <c r="E133" s="1">
        <f t="shared" si="10"/>
        <v>10.805999999999999</v>
      </c>
      <c r="F133" s="4">
        <v>436000000</v>
      </c>
      <c r="G133" s="8">
        <v>436000000</v>
      </c>
      <c r="K133" s="1">
        <v>58</v>
      </c>
      <c r="L133" s="1">
        <v>262</v>
      </c>
      <c r="M133" s="1">
        <v>275</v>
      </c>
      <c r="N133" s="6">
        <v>2.2455697353273405</v>
      </c>
      <c r="O133" s="6"/>
      <c r="P133" s="6"/>
      <c r="Q133" s="7">
        <v>2.2455697353273405</v>
      </c>
      <c r="R133" s="7"/>
      <c r="S133" s="7"/>
      <c r="W133" s="7"/>
    </row>
    <row r="134" spans="1:23" x14ac:dyDescent="0.4">
      <c r="A134" s="1" t="s">
        <v>3</v>
      </c>
      <c r="B134" s="1">
        <v>2009</v>
      </c>
      <c r="C134" s="1">
        <v>15.195</v>
      </c>
      <c r="D134" s="1">
        <v>5.0469999999999997</v>
      </c>
      <c r="E134" s="1">
        <f t="shared" si="10"/>
        <v>10.148</v>
      </c>
      <c r="F134" s="4">
        <v>436000000</v>
      </c>
      <c r="G134" s="8">
        <v>436000000</v>
      </c>
      <c r="K134" s="1">
        <v>61</v>
      </c>
      <c r="L134" s="1">
        <v>255</v>
      </c>
      <c r="M134" s="1">
        <v>280</v>
      </c>
      <c r="N134" s="6">
        <v>2.2155759446260097</v>
      </c>
      <c r="O134" s="6"/>
      <c r="P134" s="6"/>
      <c r="Q134" s="7">
        <v>2.2155759446260097</v>
      </c>
      <c r="R134" s="7"/>
      <c r="S134" s="7"/>
      <c r="W134" s="7"/>
    </row>
    <row r="135" spans="1:23" x14ac:dyDescent="0.4">
      <c r="A135" s="1" t="s">
        <v>3</v>
      </c>
      <c r="B135" s="1">
        <v>2010</v>
      </c>
      <c r="C135" s="1">
        <v>15.351000000000001</v>
      </c>
      <c r="D135" s="1">
        <v>4.59</v>
      </c>
      <c r="E135" s="1">
        <f t="shared" si="10"/>
        <v>10.761000000000001</v>
      </c>
      <c r="F135" s="4">
        <v>436000000</v>
      </c>
      <c r="G135" s="8">
        <v>436000000</v>
      </c>
      <c r="K135" s="1">
        <v>90</v>
      </c>
      <c r="L135" s="1">
        <v>262</v>
      </c>
      <c r="M135" s="1">
        <v>278</v>
      </c>
      <c r="N135" s="6">
        <v>2.2546901281506786</v>
      </c>
      <c r="O135" s="6"/>
      <c r="P135" s="6"/>
      <c r="Q135" s="7">
        <v>2.2546901281506786</v>
      </c>
      <c r="R135" s="7"/>
      <c r="S135" s="7"/>
      <c r="W135" s="7"/>
    </row>
    <row r="136" spans="1:23" x14ac:dyDescent="0.4">
      <c r="A136" s="1" t="s">
        <v>3</v>
      </c>
      <c r="B136" s="1">
        <v>2011</v>
      </c>
      <c r="C136" s="1">
        <v>14.704000000000001</v>
      </c>
      <c r="D136" s="1">
        <v>4.3330000000000002</v>
      </c>
      <c r="E136" s="1">
        <f t="shared" si="10"/>
        <v>10.371</v>
      </c>
      <c r="F136" s="4">
        <v>436000000</v>
      </c>
      <c r="G136" s="8">
        <v>436000000</v>
      </c>
      <c r="K136" s="1">
        <v>66</v>
      </c>
      <c r="L136" s="1">
        <v>251</v>
      </c>
      <c r="M136" s="1">
        <v>283</v>
      </c>
      <c r="N136" s="6">
        <v>2.2345807008517986</v>
      </c>
      <c r="O136" s="6"/>
      <c r="P136" s="6"/>
      <c r="Q136" s="7">
        <v>2.2345807008517986</v>
      </c>
      <c r="R136" s="7"/>
      <c r="S136" s="7"/>
      <c r="W136" s="7"/>
    </row>
    <row r="137" spans="1:23" x14ac:dyDescent="0.4">
      <c r="A137" s="1" t="s">
        <v>3</v>
      </c>
      <c r="B137" s="1">
        <v>2012</v>
      </c>
      <c r="C137" s="1">
        <v>15.307</v>
      </c>
      <c r="D137" s="1">
        <v>3.34</v>
      </c>
      <c r="E137" s="1">
        <f t="shared" si="10"/>
        <v>11.967000000000001</v>
      </c>
      <c r="F137" s="4">
        <v>436000000</v>
      </c>
      <c r="G137" s="8">
        <v>436000000</v>
      </c>
      <c r="K137" s="1">
        <v>78</v>
      </c>
      <c r="L137" s="1">
        <v>260</v>
      </c>
      <c r="M137" s="1">
        <v>285</v>
      </c>
      <c r="N137" s="6">
        <v>2.2860889158126407</v>
      </c>
      <c r="O137" s="6"/>
      <c r="P137" s="6"/>
      <c r="Q137" s="7">
        <v>2.2860889158126407</v>
      </c>
      <c r="R137" s="7"/>
      <c r="S137" s="7"/>
      <c r="W137" s="7"/>
    </row>
    <row r="138" spans="1:23" x14ac:dyDescent="0.4">
      <c r="A138" s="1" t="s">
        <v>3</v>
      </c>
      <c r="B138" s="1">
        <v>2013</v>
      </c>
      <c r="C138" s="1">
        <v>15.196</v>
      </c>
      <c r="D138" s="1">
        <v>5.04</v>
      </c>
      <c r="E138" s="1">
        <f t="shared" si="10"/>
        <v>10.155999999999999</v>
      </c>
      <c r="F138" s="4">
        <v>436000000</v>
      </c>
      <c r="G138" s="8">
        <v>436000000</v>
      </c>
      <c r="K138" s="1">
        <v>73</v>
      </c>
      <c r="L138" s="1">
        <v>256</v>
      </c>
      <c r="M138" s="1">
        <v>266</v>
      </c>
      <c r="N138" s="6">
        <v>2.1871174613944642</v>
      </c>
      <c r="O138" s="6"/>
      <c r="P138" s="6"/>
      <c r="Q138" s="7">
        <v>2.1871174613944642</v>
      </c>
      <c r="R138" s="7"/>
      <c r="S138" s="7"/>
      <c r="W138" s="7"/>
    </row>
    <row r="139" spans="1:23" x14ac:dyDescent="0.4">
      <c r="A139" s="1" t="s">
        <v>3</v>
      </c>
      <c r="B139" s="1">
        <v>2014</v>
      </c>
      <c r="C139" s="1">
        <v>15.007</v>
      </c>
      <c r="D139" s="1">
        <v>4.9880000000000004</v>
      </c>
      <c r="E139" s="1">
        <f t="shared" si="10"/>
        <v>10.018999999999998</v>
      </c>
      <c r="F139" s="4">
        <v>436000000</v>
      </c>
      <c r="G139" s="8">
        <v>436000000</v>
      </c>
      <c r="K139" s="1">
        <v>79</v>
      </c>
      <c r="L139" s="1">
        <v>259</v>
      </c>
      <c r="M139" s="1">
        <v>275</v>
      </c>
      <c r="N139" s="6">
        <v>2.1769170428247402</v>
      </c>
      <c r="O139" s="6"/>
      <c r="P139" s="6"/>
      <c r="Q139" s="7">
        <v>2.1769170428247402</v>
      </c>
      <c r="R139" s="7"/>
      <c r="S139" s="7"/>
      <c r="W139" s="7"/>
    </row>
    <row r="140" spans="1:23" x14ac:dyDescent="0.4">
      <c r="A140" s="1" t="s">
        <v>3</v>
      </c>
      <c r="B140" s="1">
        <v>2015</v>
      </c>
      <c r="C140" s="1">
        <v>14.554</v>
      </c>
      <c r="D140" s="1">
        <v>4.3869999999999996</v>
      </c>
      <c r="E140" s="1">
        <f t="shared" si="10"/>
        <v>10.167000000000002</v>
      </c>
      <c r="F140" s="4">
        <v>436000000</v>
      </c>
      <c r="G140" s="8">
        <v>436000000</v>
      </c>
      <c r="K140" s="1">
        <v>53</v>
      </c>
      <c r="L140" s="1">
        <v>251</v>
      </c>
      <c r="M140" s="1">
        <v>278</v>
      </c>
      <c r="N140" s="6">
        <v>2.1757264572502431</v>
      </c>
      <c r="O140" s="6"/>
      <c r="P140" s="6"/>
      <c r="Q140" s="7">
        <v>2.1757264572502431</v>
      </c>
      <c r="R140" s="7"/>
      <c r="S140" s="7"/>
      <c r="W140" s="7"/>
    </row>
    <row r="141" spans="1:23" x14ac:dyDescent="0.4">
      <c r="A141" s="1" t="s">
        <v>3</v>
      </c>
      <c r="B141" s="1">
        <v>2016</v>
      </c>
      <c r="C141" s="1">
        <v>14.566000000000001</v>
      </c>
      <c r="D141" s="1">
        <v>4.1449999999999996</v>
      </c>
      <c r="E141" s="1">
        <f t="shared" si="10"/>
        <v>10.421000000000001</v>
      </c>
      <c r="F141" s="4">
        <v>436000000</v>
      </c>
      <c r="G141" s="8">
        <v>436000000</v>
      </c>
      <c r="K141" s="1">
        <v>82</v>
      </c>
      <c r="L141" s="1">
        <v>251</v>
      </c>
      <c r="M141" s="1">
        <v>287</v>
      </c>
      <c r="N141" s="6">
        <v>2.1880354972477716</v>
      </c>
      <c r="O141" s="6"/>
      <c r="P141" s="6"/>
      <c r="Q141" s="7">
        <v>2.1880354972477716</v>
      </c>
      <c r="R141" s="7"/>
      <c r="S141" s="7"/>
      <c r="W141" s="7"/>
    </row>
    <row r="142" spans="1:23" x14ac:dyDescent="0.4">
      <c r="A142" s="1" t="s">
        <v>3</v>
      </c>
      <c r="B142" s="1">
        <v>2017</v>
      </c>
      <c r="C142" s="1">
        <v>14.449</v>
      </c>
      <c r="D142" s="1">
        <v>4.6349999999999998</v>
      </c>
      <c r="E142" s="1">
        <f t="shared" si="10"/>
        <v>9.8140000000000001</v>
      </c>
      <c r="F142" s="4">
        <v>436000000</v>
      </c>
      <c r="G142" s="8">
        <v>436000000</v>
      </c>
      <c r="K142" s="1">
        <v>64</v>
      </c>
      <c r="L142" s="1">
        <v>256</v>
      </c>
      <c r="M142" s="1">
        <v>275</v>
      </c>
      <c r="N142" s="6">
        <v>2.1458967806326159</v>
      </c>
      <c r="O142" s="6"/>
      <c r="P142" s="6"/>
      <c r="Q142" s="7">
        <v>2.1458967806326159</v>
      </c>
      <c r="R142" s="7"/>
      <c r="S142" s="7"/>
      <c r="W142" s="7"/>
    </row>
    <row r="143" spans="1:23" x14ac:dyDescent="0.4">
      <c r="A143" s="1" t="s">
        <v>3</v>
      </c>
      <c r="B143" s="1">
        <v>2018</v>
      </c>
      <c r="C143" s="1">
        <v>14.499000000000001</v>
      </c>
      <c r="D143" s="1">
        <v>4.63</v>
      </c>
      <c r="E143" s="1">
        <f t="shared" si="10"/>
        <v>9.8689999999999998</v>
      </c>
      <c r="F143" s="4">
        <v>436000000</v>
      </c>
      <c r="G143" s="8">
        <v>436000000</v>
      </c>
      <c r="K143" s="1">
        <v>73</v>
      </c>
      <c r="L143" s="1">
        <v>264</v>
      </c>
      <c r="M143" s="1">
        <v>282</v>
      </c>
      <c r="N143" s="6">
        <v>2.1494334791138572</v>
      </c>
      <c r="O143" s="6"/>
      <c r="P143" s="6"/>
      <c r="Q143" s="7">
        <v>2.1494334791138572</v>
      </c>
      <c r="R143" s="7"/>
      <c r="S143" s="7"/>
      <c r="W143" s="7"/>
    </row>
    <row r="144" spans="1:23" x14ac:dyDescent="0.4">
      <c r="A144" s="1" t="s">
        <v>3</v>
      </c>
      <c r="B144" s="1">
        <v>2019</v>
      </c>
      <c r="C144" s="1">
        <v>14.896000000000001</v>
      </c>
      <c r="D144" s="1">
        <v>4.1660000000000004</v>
      </c>
      <c r="E144" s="1">
        <f t="shared" si="10"/>
        <v>10.73</v>
      </c>
      <c r="F144" s="4">
        <v>436000000</v>
      </c>
      <c r="G144" s="8">
        <v>436000000</v>
      </c>
      <c r="K144" s="1">
        <v>70</v>
      </c>
      <c r="L144" s="1">
        <v>261</v>
      </c>
      <c r="M144" s="1">
        <v>287</v>
      </c>
      <c r="N144" s="6">
        <v>2.1995547723693711</v>
      </c>
      <c r="O144" s="6"/>
      <c r="P144" s="6"/>
      <c r="Q144" s="7">
        <v>2.1995547723693711</v>
      </c>
      <c r="R144" s="7"/>
      <c r="S144" s="7"/>
      <c r="W144" s="7"/>
    </row>
    <row r="145" spans="1:23" x14ac:dyDescent="0.4">
      <c r="A145" s="1" t="s">
        <v>3</v>
      </c>
      <c r="B145" s="1">
        <v>2020</v>
      </c>
      <c r="C145" s="1">
        <v>15.071</v>
      </c>
      <c r="D145" s="1">
        <v>3.7930000000000001</v>
      </c>
      <c r="E145" s="1">
        <f t="shared" si="10"/>
        <v>11.277999999999999</v>
      </c>
      <c r="F145" s="4">
        <v>436000000</v>
      </c>
      <c r="G145" s="8">
        <v>436000000</v>
      </c>
      <c r="K145" s="1">
        <v>64</v>
      </c>
      <c r="L145" s="1">
        <v>257</v>
      </c>
      <c r="M145" s="1">
        <v>292</v>
      </c>
      <c r="N145" s="6">
        <v>2.2368790754521237</v>
      </c>
      <c r="O145" s="6"/>
      <c r="P145" s="6"/>
      <c r="Q145" s="7">
        <v>2.2368790754521237</v>
      </c>
      <c r="R145" s="7"/>
      <c r="S145" s="7"/>
      <c r="W145" s="7"/>
    </row>
    <row r="146" spans="1:23" x14ac:dyDescent="0.4">
      <c r="A146" s="1" t="s">
        <v>3</v>
      </c>
      <c r="B146" s="1">
        <v>2021</v>
      </c>
      <c r="C146" s="1">
        <v>14.865</v>
      </c>
      <c r="D146" s="1">
        <v>4.7569999999999997</v>
      </c>
      <c r="E146" s="1">
        <f t="shared" si="10"/>
        <v>10.108000000000001</v>
      </c>
      <c r="F146" s="4">
        <v>436000000</v>
      </c>
      <c r="G146" s="8">
        <v>436000000</v>
      </c>
      <c r="K146" s="1">
        <v>70</v>
      </c>
      <c r="L146" s="1">
        <v>257</v>
      </c>
      <c r="M146" s="1">
        <v>269</v>
      </c>
      <c r="N146" s="6">
        <v>2.169968721282983</v>
      </c>
      <c r="O146" s="6"/>
      <c r="P146" s="6"/>
      <c r="Q146" s="7">
        <v>2.169968721282983</v>
      </c>
      <c r="R146" s="7"/>
      <c r="S146" s="7"/>
      <c r="W146" s="7"/>
    </row>
    <row r="147" spans="1:23" x14ac:dyDescent="0.4">
      <c r="A147" s="1" t="s">
        <v>3</v>
      </c>
      <c r="B147" s="1">
        <v>2022</v>
      </c>
      <c r="C147" s="1">
        <v>14.94</v>
      </c>
      <c r="D147" s="1">
        <v>4.6920000000000002</v>
      </c>
      <c r="E147" s="1">
        <f t="shared" si="10"/>
        <v>10.247999999999999</v>
      </c>
      <c r="F147" s="4">
        <v>436000000</v>
      </c>
      <c r="G147" s="8">
        <v>436000000</v>
      </c>
      <c r="K147" s="1">
        <v>52</v>
      </c>
      <c r="L147" s="1">
        <v>258</v>
      </c>
      <c r="M147" s="1">
        <v>278</v>
      </c>
      <c r="N147" s="6">
        <v>2.1774762697753465</v>
      </c>
      <c r="O147" s="6"/>
      <c r="P147" s="6"/>
      <c r="Q147" s="7">
        <v>2.1774762697753465</v>
      </c>
      <c r="R147" s="7"/>
      <c r="S147" s="7"/>
      <c r="W147" s="7"/>
    </row>
    <row r="148" spans="1:23" x14ac:dyDescent="0.4">
      <c r="A148" s="1" t="s">
        <v>3</v>
      </c>
      <c r="B148" s="1">
        <v>2023</v>
      </c>
      <c r="C148" s="1">
        <v>14.635999999999999</v>
      </c>
      <c r="D148" s="1">
        <v>4.2439999999999998</v>
      </c>
      <c r="E148" s="1">
        <f t="shared" si="10"/>
        <v>10.391999999999999</v>
      </c>
      <c r="F148" s="4">
        <v>436000000</v>
      </c>
      <c r="G148" s="8">
        <v>436000000</v>
      </c>
      <c r="K148" s="1">
        <v>64</v>
      </c>
      <c r="L148" s="1">
        <v>260</v>
      </c>
      <c r="M148" s="1">
        <v>276</v>
      </c>
      <c r="N148" s="6">
        <v>2.184745763185735</v>
      </c>
      <c r="O148" s="6"/>
      <c r="P148" s="6"/>
      <c r="Q148" s="7">
        <v>2.184745763185735</v>
      </c>
      <c r="R148" s="7"/>
      <c r="S148" s="7"/>
      <c r="W148" s="7"/>
    </row>
    <row r="149" spans="1:23" x14ac:dyDescent="0.4">
      <c r="A149" s="1" t="s">
        <v>3</v>
      </c>
      <c r="B149" s="1">
        <v>2024</v>
      </c>
      <c r="C149" s="1">
        <v>15.041</v>
      </c>
      <c r="D149" s="1">
        <v>4.2450000000000001</v>
      </c>
      <c r="E149" s="1">
        <f t="shared" si="10"/>
        <v>10.795999999999999</v>
      </c>
      <c r="F149" s="4">
        <v>436000000</v>
      </c>
      <c r="G149" s="8">
        <v>436000000</v>
      </c>
      <c r="K149" s="1">
        <v>70</v>
      </c>
      <c r="L149" s="1">
        <v>254</v>
      </c>
      <c r="M149" s="1">
        <v>277</v>
      </c>
      <c r="N149" s="6">
        <v>2.2137178572050797</v>
      </c>
      <c r="O149" s="6"/>
      <c r="P149" s="6"/>
      <c r="Q149" s="7">
        <v>2.2137178572050797</v>
      </c>
      <c r="R149" s="7"/>
      <c r="S149" s="7"/>
      <c r="W149" s="7"/>
    </row>
    <row r="150" spans="1:23" x14ac:dyDescent="0.4">
      <c r="A150" s="1" t="s">
        <v>3</v>
      </c>
      <c r="B150" s="1">
        <v>2025</v>
      </c>
      <c r="C150" s="1">
        <v>14.348000000000001</v>
      </c>
      <c r="D150" s="1">
        <v>4.5430000000000001</v>
      </c>
      <c r="E150" s="1">
        <f t="shared" si="10"/>
        <v>9.8049999999999997</v>
      </c>
      <c r="F150" s="4">
        <v>436000000</v>
      </c>
      <c r="G150" s="8">
        <v>436000000</v>
      </c>
      <c r="K150" s="1">
        <v>80</v>
      </c>
      <c r="L150" s="1">
        <v>251</v>
      </c>
      <c r="M150" s="1">
        <v>278</v>
      </c>
      <c r="N150" s="6">
        <v>2.1594592394573837</v>
      </c>
      <c r="O150" s="6"/>
      <c r="P150" s="6"/>
      <c r="Q150" s="7">
        <v>2.1594592394573837</v>
      </c>
      <c r="R150" s="7"/>
      <c r="S150" s="7"/>
      <c r="W150" s="7"/>
    </row>
    <row r="151" spans="1:23" x14ac:dyDescent="0.4">
      <c r="A151" s="1" t="s">
        <v>3</v>
      </c>
      <c r="B151" s="1">
        <v>2026</v>
      </c>
      <c r="C151" s="1">
        <v>13.19292709</v>
      </c>
      <c r="D151" s="1">
        <v>2.423435021</v>
      </c>
      <c r="E151" s="1">
        <f t="shared" si="10"/>
        <v>10.769492069</v>
      </c>
      <c r="F151" s="4">
        <v>461000000</v>
      </c>
      <c r="G151" s="8">
        <v>461000000</v>
      </c>
      <c r="H151" s="1">
        <v>9.3548481260000003</v>
      </c>
      <c r="I151" s="1">
        <v>12.28873879</v>
      </c>
      <c r="J151" s="1">
        <v>10.82179346</v>
      </c>
      <c r="K151" s="1">
        <v>69</v>
      </c>
      <c r="L151" s="1">
        <v>257</v>
      </c>
      <c r="M151" s="1">
        <v>278</v>
      </c>
      <c r="N151" s="6">
        <v>2.2417784190943535</v>
      </c>
      <c r="O151" s="6">
        <f t="shared" si="6"/>
        <v>1.937894741780819</v>
      </c>
      <c r="P151" s="6">
        <f t="shared" si="7"/>
        <v>2.5456620955792717</v>
      </c>
      <c r="Q151" s="7">
        <v>2.2417784190943535</v>
      </c>
      <c r="R151" s="7">
        <f t="shared" ref="R151" si="11">Q151*H151/J151</f>
        <v>1.937894741780819</v>
      </c>
      <c r="S151" s="7">
        <f t="shared" ref="S151" si="12">Q151*I151/J151</f>
        <v>2.5456620955792717</v>
      </c>
      <c r="W151" s="7"/>
    </row>
    <row r="152" spans="1:23" x14ac:dyDescent="0.4">
      <c r="A152" s="1" t="s">
        <v>3</v>
      </c>
      <c r="B152" s="1">
        <v>2027</v>
      </c>
      <c r="C152" s="1">
        <v>13.11285067</v>
      </c>
      <c r="D152" s="1">
        <v>2.2967202000000002</v>
      </c>
      <c r="E152" s="1">
        <f t="shared" si="10"/>
        <v>10.816130470000001</v>
      </c>
      <c r="F152" s="4">
        <v>486000000</v>
      </c>
      <c r="G152" s="8">
        <v>486000000</v>
      </c>
      <c r="H152" s="1">
        <v>9.5269367840000001</v>
      </c>
      <c r="I152" s="1">
        <v>12.2365423</v>
      </c>
      <c r="J152" s="1">
        <v>10.88173954</v>
      </c>
      <c r="K152" s="1">
        <v>69</v>
      </c>
      <c r="L152" s="1">
        <v>257</v>
      </c>
      <c r="M152" s="1">
        <v>279</v>
      </c>
      <c r="N152" s="6">
        <v>2.3329568735575656</v>
      </c>
      <c r="O152" s="6">
        <f t="shared" si="6"/>
        <v>2.0424981293185054</v>
      </c>
      <c r="P152" s="6">
        <f t="shared" si="7"/>
        <v>2.6234156186541937</v>
      </c>
      <c r="Q152" s="7">
        <v>2.3329568735575656</v>
      </c>
      <c r="R152" s="7">
        <f t="shared" ref="R152:R215" si="13">Q152*H152/J152</f>
        <v>2.0424981293185054</v>
      </c>
      <c r="S152" s="7">
        <f t="shared" ref="S152:S215" si="14">Q152*I152/J152</f>
        <v>2.6234156186541937</v>
      </c>
      <c r="W152" s="7"/>
    </row>
    <row r="153" spans="1:23" x14ac:dyDescent="0.4">
      <c r="A153" s="1" t="s">
        <v>3</v>
      </c>
      <c r="B153" s="1">
        <v>2028</v>
      </c>
      <c r="C153" s="1">
        <v>13.10246476</v>
      </c>
      <c r="D153" s="1">
        <v>2.2260933139999999</v>
      </c>
      <c r="E153" s="1">
        <f t="shared" si="10"/>
        <v>10.876371446</v>
      </c>
      <c r="F153" s="4">
        <v>511000000</v>
      </c>
      <c r="G153" s="8">
        <v>511000000</v>
      </c>
      <c r="H153" s="1">
        <v>9.5931237589999991</v>
      </c>
      <c r="I153" s="1">
        <v>12.374580440000001</v>
      </c>
      <c r="J153" s="1">
        <v>10.9838521</v>
      </c>
      <c r="K153" s="1">
        <v>69</v>
      </c>
      <c r="L153" s="1">
        <v>257</v>
      </c>
      <c r="M153" s="1">
        <v>280</v>
      </c>
      <c r="N153" s="6">
        <v>2.4421010633813993</v>
      </c>
      <c r="O153" s="6">
        <f t="shared" si="6"/>
        <v>2.1328926791542711</v>
      </c>
      <c r="P153" s="6">
        <f t="shared" si="7"/>
        <v>2.7513094473861921</v>
      </c>
      <c r="Q153" s="7">
        <v>2.4421010633813993</v>
      </c>
      <c r="R153" s="7">
        <f t="shared" si="13"/>
        <v>2.1328926791542711</v>
      </c>
      <c r="S153" s="7">
        <f t="shared" si="14"/>
        <v>2.7513094473861921</v>
      </c>
      <c r="W153" s="7"/>
    </row>
    <row r="154" spans="1:23" x14ac:dyDescent="0.4">
      <c r="A154" s="1" t="s">
        <v>3</v>
      </c>
      <c r="B154" s="1">
        <v>2029</v>
      </c>
      <c r="C154" s="1">
        <v>13.0980843</v>
      </c>
      <c r="D154" s="1">
        <v>2.114756699</v>
      </c>
      <c r="E154" s="1">
        <f t="shared" si="10"/>
        <v>10.983327600999999</v>
      </c>
      <c r="F154" s="4">
        <v>536000000</v>
      </c>
      <c r="G154" s="8">
        <v>536000000</v>
      </c>
      <c r="H154" s="1">
        <v>9.3316356620000001</v>
      </c>
      <c r="I154" s="1">
        <v>12.51801826</v>
      </c>
      <c r="J154" s="1">
        <v>10.924826960000001</v>
      </c>
      <c r="K154" s="1">
        <v>69</v>
      </c>
      <c r="L154" s="1">
        <v>257</v>
      </c>
      <c r="M154" s="1">
        <v>281</v>
      </c>
      <c r="N154" s="6">
        <v>2.5644551013683539</v>
      </c>
      <c r="O154" s="6">
        <f t="shared" si="6"/>
        <v>2.1904750313342038</v>
      </c>
      <c r="P154" s="6">
        <f t="shared" si="7"/>
        <v>2.9384351718719768</v>
      </c>
      <c r="Q154" s="7">
        <v>2.5644551013683539</v>
      </c>
      <c r="R154" s="7">
        <f t="shared" si="13"/>
        <v>2.1904750313342038</v>
      </c>
      <c r="S154" s="7">
        <f t="shared" si="14"/>
        <v>2.9384351718719768</v>
      </c>
      <c r="W154" s="7"/>
    </row>
    <row r="155" spans="1:23" x14ac:dyDescent="0.4">
      <c r="A155" s="1" t="s">
        <v>3</v>
      </c>
      <c r="B155" s="1">
        <v>2030</v>
      </c>
      <c r="C155" s="1">
        <v>13.02861746</v>
      </c>
      <c r="D155" s="1">
        <v>2.0197046420000002</v>
      </c>
      <c r="E155" s="1">
        <f t="shared" si="10"/>
        <v>11.008912817999999</v>
      </c>
      <c r="F155" s="4">
        <v>561000000</v>
      </c>
      <c r="G155" s="8">
        <v>561000000</v>
      </c>
      <c r="H155" s="1">
        <v>9.5665727109999992</v>
      </c>
      <c r="I155" s="1">
        <v>12.431092270000001</v>
      </c>
      <c r="J155" s="1">
        <v>10.99883249</v>
      </c>
      <c r="K155" s="1">
        <v>69</v>
      </c>
      <c r="L155" s="1">
        <v>257</v>
      </c>
      <c r="M155" s="1">
        <v>281</v>
      </c>
      <c r="N155" s="6">
        <v>2.6845266408773756</v>
      </c>
      <c r="O155" s="6">
        <f t="shared" si="6"/>
        <v>2.3349495801413007</v>
      </c>
      <c r="P155" s="6">
        <f t="shared" si="7"/>
        <v>3.0341037018575241</v>
      </c>
      <c r="Q155" s="7">
        <v>2.6845266408773756</v>
      </c>
      <c r="R155" s="7">
        <f t="shared" si="13"/>
        <v>2.3349495801413007</v>
      </c>
      <c r="S155" s="7">
        <f t="shared" si="14"/>
        <v>3.0341037018575241</v>
      </c>
      <c r="W155" s="7"/>
    </row>
    <row r="156" spans="1:23" x14ac:dyDescent="0.4">
      <c r="A156" s="1" t="s">
        <v>3</v>
      </c>
      <c r="B156" s="1">
        <v>2031</v>
      </c>
      <c r="C156" s="1">
        <v>13.006130369999999</v>
      </c>
      <c r="D156" s="1">
        <v>1.9458985040000001</v>
      </c>
      <c r="E156" s="1">
        <f t="shared" si="10"/>
        <v>11.060231865999999</v>
      </c>
      <c r="F156" s="4">
        <v>586000000</v>
      </c>
      <c r="G156" s="8">
        <v>586000000</v>
      </c>
      <c r="H156" s="1">
        <v>9.8215720789999992</v>
      </c>
      <c r="I156" s="1">
        <v>12.496359829999999</v>
      </c>
      <c r="J156" s="1">
        <v>11.158965950000001</v>
      </c>
      <c r="K156" s="1">
        <v>69</v>
      </c>
      <c r="L156" s="1">
        <v>257</v>
      </c>
      <c r="M156" s="1">
        <v>282</v>
      </c>
      <c r="N156" s="6">
        <v>2.8098337329148242</v>
      </c>
      <c r="O156" s="6">
        <f t="shared" si="6"/>
        <v>2.4730772243129371</v>
      </c>
      <c r="P156" s="6">
        <f t="shared" si="7"/>
        <v>3.1465902437829154</v>
      </c>
      <c r="Q156" s="7">
        <v>2.8098337329148242</v>
      </c>
      <c r="R156" s="7">
        <f t="shared" si="13"/>
        <v>2.4730772243129371</v>
      </c>
      <c r="S156" s="7">
        <f t="shared" si="14"/>
        <v>3.1465902437829154</v>
      </c>
      <c r="W156" s="7"/>
    </row>
    <row r="157" spans="1:23" x14ac:dyDescent="0.4">
      <c r="A157" s="1" t="s">
        <v>3</v>
      </c>
      <c r="B157" s="1">
        <v>2032</v>
      </c>
      <c r="C157" s="1">
        <v>12.955304780000001</v>
      </c>
      <c r="D157" s="1">
        <v>1.903460417</v>
      </c>
      <c r="E157" s="1">
        <f t="shared" si="10"/>
        <v>11.051844363000001</v>
      </c>
      <c r="F157" s="4">
        <v>611000000</v>
      </c>
      <c r="G157" s="8">
        <v>611000000</v>
      </c>
      <c r="H157" s="1">
        <v>9.8538418480000001</v>
      </c>
      <c r="I157" s="1">
        <v>12.453130489999999</v>
      </c>
      <c r="J157" s="1">
        <v>11.153486170000001</v>
      </c>
      <c r="K157" s="1">
        <v>69</v>
      </c>
      <c r="L157" s="1">
        <v>257</v>
      </c>
      <c r="M157" s="1">
        <v>283</v>
      </c>
      <c r="N157" s="6">
        <v>2.9288161573810378</v>
      </c>
      <c r="O157" s="6">
        <f t="shared" si="6"/>
        <v>2.5875399652465632</v>
      </c>
      <c r="P157" s="6">
        <f t="shared" si="7"/>
        <v>3.2700923489903277</v>
      </c>
      <c r="Q157" s="7">
        <v>2.9288161573810378</v>
      </c>
      <c r="R157" s="7">
        <f t="shared" si="13"/>
        <v>2.5875399652465632</v>
      </c>
      <c r="S157" s="7">
        <f t="shared" si="14"/>
        <v>3.2700923489903277</v>
      </c>
      <c r="W157" s="7"/>
    </row>
    <row r="158" spans="1:23" x14ac:dyDescent="0.4">
      <c r="A158" s="1" t="s">
        <v>3</v>
      </c>
      <c r="B158" s="1">
        <v>2033</v>
      </c>
      <c r="C158" s="1">
        <v>12.93279628</v>
      </c>
      <c r="D158" s="1">
        <v>1.8453305099999999</v>
      </c>
      <c r="E158" s="1">
        <f t="shared" si="10"/>
        <v>11.08746577</v>
      </c>
      <c r="F158" s="4">
        <v>636000000</v>
      </c>
      <c r="G158" s="8">
        <v>636000000</v>
      </c>
      <c r="H158" s="1">
        <v>9.7811543220000008</v>
      </c>
      <c r="I158" s="1">
        <v>12.73269554</v>
      </c>
      <c r="J158" s="1">
        <v>11.25692493</v>
      </c>
      <c r="K158" s="1">
        <v>69</v>
      </c>
      <c r="L158" s="1">
        <v>257</v>
      </c>
      <c r="M158" s="1">
        <v>284</v>
      </c>
      <c r="N158" s="6">
        <v>3.0532780120495646</v>
      </c>
      <c r="O158" s="6">
        <f t="shared" si="6"/>
        <v>2.6529965873927321</v>
      </c>
      <c r="P158" s="6">
        <f t="shared" si="7"/>
        <v>3.453559437248868</v>
      </c>
      <c r="Q158" s="7">
        <v>3.0532780120495646</v>
      </c>
      <c r="R158" s="7">
        <f t="shared" si="13"/>
        <v>2.6529965873927321</v>
      </c>
      <c r="S158" s="7">
        <f t="shared" si="14"/>
        <v>3.453559437248868</v>
      </c>
      <c r="W158" s="7"/>
    </row>
    <row r="159" spans="1:23" x14ac:dyDescent="0.4">
      <c r="A159" s="1" t="s">
        <v>3</v>
      </c>
      <c r="B159" s="1">
        <v>2034</v>
      </c>
      <c r="C159" s="1">
        <v>12.849625039999999</v>
      </c>
      <c r="D159" s="1">
        <v>1.728619514</v>
      </c>
      <c r="E159" s="1">
        <f t="shared" si="10"/>
        <v>11.121005525999999</v>
      </c>
      <c r="F159" s="4">
        <v>654000000</v>
      </c>
      <c r="G159" s="8">
        <v>661000000</v>
      </c>
      <c r="H159" s="1">
        <v>9.8010238970000003</v>
      </c>
      <c r="I159" s="1">
        <v>12.867820480000001</v>
      </c>
      <c r="J159" s="1">
        <v>11.33442219</v>
      </c>
      <c r="K159" s="1">
        <v>69</v>
      </c>
      <c r="L159" s="1">
        <v>257</v>
      </c>
      <c r="M159" s="1">
        <v>284</v>
      </c>
      <c r="N159" s="6">
        <v>3.1677587711302171</v>
      </c>
      <c r="O159" s="6">
        <f t="shared" si="6"/>
        <v>2.7392026602971113</v>
      </c>
      <c r="P159" s="6">
        <f t="shared" si="7"/>
        <v>3.5963148811248788</v>
      </c>
      <c r="Q159" s="7">
        <v>3.1785234383250054</v>
      </c>
      <c r="R159" s="7">
        <f t="shared" si="13"/>
        <v>2.748511009558396</v>
      </c>
      <c r="S159" s="7">
        <f t="shared" si="14"/>
        <v>3.608535866250322</v>
      </c>
      <c r="W159" s="7"/>
    </row>
    <row r="160" spans="1:23" x14ac:dyDescent="0.4">
      <c r="A160" s="1" t="s">
        <v>3</v>
      </c>
      <c r="B160" s="1">
        <v>2035</v>
      </c>
      <c r="C160" s="1">
        <v>12.835550169999999</v>
      </c>
      <c r="D160" s="1">
        <v>1.622933966</v>
      </c>
      <c r="E160" s="1">
        <f t="shared" si="10"/>
        <v>11.212616204</v>
      </c>
      <c r="F160" s="4">
        <v>654000000</v>
      </c>
      <c r="G160" s="8">
        <v>686000000</v>
      </c>
      <c r="H160" s="1">
        <v>9.8710607790000005</v>
      </c>
      <c r="I160" s="1">
        <v>12.645273700000001</v>
      </c>
      <c r="J160" s="1">
        <v>11.258167240000001</v>
      </c>
      <c r="K160" s="1">
        <v>69</v>
      </c>
      <c r="L160" s="1">
        <v>257</v>
      </c>
      <c r="M160" s="1">
        <v>285</v>
      </c>
      <c r="N160" s="6">
        <v>3.2530614621353529</v>
      </c>
      <c r="O160" s="6">
        <f t="shared" si="6"/>
        <v>2.8522553206058676</v>
      </c>
      <c r="P160" s="6">
        <f t="shared" si="7"/>
        <v>3.653867603375887</v>
      </c>
      <c r="Q160" s="7">
        <v>3.3153595782641356</v>
      </c>
      <c r="R160" s="7">
        <f t="shared" si="13"/>
        <v>2.9068777540459676</v>
      </c>
      <c r="S160" s="7">
        <f t="shared" si="14"/>
        <v>3.7238414021878188</v>
      </c>
      <c r="W160" s="7"/>
    </row>
    <row r="161" spans="1:23" x14ac:dyDescent="0.4">
      <c r="A161" s="1" t="s">
        <v>3</v>
      </c>
      <c r="B161" s="1">
        <v>2036</v>
      </c>
      <c r="C161" s="1">
        <v>12.80053517</v>
      </c>
      <c r="D161" s="1">
        <v>1.6079457909999999</v>
      </c>
      <c r="E161" s="1">
        <f t="shared" si="10"/>
        <v>11.192589378999999</v>
      </c>
      <c r="F161" s="4">
        <v>654000000</v>
      </c>
      <c r="G161" s="8">
        <v>711000000</v>
      </c>
      <c r="H161" s="1">
        <v>9.9157198829999995</v>
      </c>
      <c r="I161" s="1">
        <v>12.6348325</v>
      </c>
      <c r="J161" s="1">
        <v>11.27527619</v>
      </c>
      <c r="K161" s="1">
        <v>69</v>
      </c>
      <c r="L161" s="1">
        <v>257</v>
      </c>
      <c r="M161" s="1">
        <v>286</v>
      </c>
      <c r="N161" s="6">
        <v>3.2823718415477248</v>
      </c>
      <c r="O161" s="6">
        <f t="shared" si="6"/>
        <v>2.8865882470799233</v>
      </c>
      <c r="P161" s="6">
        <f t="shared" si="7"/>
        <v>3.6781554368888632</v>
      </c>
      <c r="Q161" s="7">
        <v>3.4345897910000009</v>
      </c>
      <c r="R161" s="7">
        <f t="shared" si="13"/>
        <v>3.0204519788856299</v>
      </c>
      <c r="S161" s="7">
        <f t="shared" si="14"/>
        <v>3.8487276040282095</v>
      </c>
      <c r="W161" s="7"/>
    </row>
    <row r="162" spans="1:23" x14ac:dyDescent="0.4">
      <c r="A162" s="1" t="s">
        <v>3</v>
      </c>
      <c r="B162" s="1">
        <v>2037</v>
      </c>
      <c r="C162" s="1">
        <v>12.77855243</v>
      </c>
      <c r="D162" s="1">
        <v>1.4943807629999999</v>
      </c>
      <c r="E162" s="1">
        <f t="shared" si="10"/>
        <v>11.284171666999999</v>
      </c>
      <c r="F162" s="4">
        <v>654000000</v>
      </c>
      <c r="G162" s="8">
        <v>736000000</v>
      </c>
      <c r="H162" s="1">
        <v>10.172378589999999</v>
      </c>
      <c r="I162" s="1">
        <v>12.79879139</v>
      </c>
      <c r="J162" s="1">
        <v>11.48558499</v>
      </c>
      <c r="K162" s="1">
        <v>69</v>
      </c>
      <c r="L162" s="1">
        <v>257</v>
      </c>
      <c r="M162" s="1">
        <v>287</v>
      </c>
      <c r="N162" s="6">
        <v>3.3114558425214971</v>
      </c>
      <c r="O162" s="6">
        <f t="shared" si="6"/>
        <v>2.9328399505575455</v>
      </c>
      <c r="P162" s="6">
        <f t="shared" si="7"/>
        <v>3.6900717344854486</v>
      </c>
      <c r="Q162" s="7">
        <v>3.5734695083634329</v>
      </c>
      <c r="R162" s="7">
        <f t="shared" si="13"/>
        <v>3.1648962373743239</v>
      </c>
      <c r="S162" s="7">
        <f t="shared" si="14"/>
        <v>3.9820427793525424</v>
      </c>
      <c r="W162" s="7"/>
    </row>
    <row r="163" spans="1:23" x14ac:dyDescent="0.4">
      <c r="A163" s="1" t="s">
        <v>3</v>
      </c>
      <c r="B163" s="1">
        <v>2038</v>
      </c>
      <c r="C163" s="1">
        <v>12.75193015</v>
      </c>
      <c r="D163" s="1">
        <v>1.3930968290000001</v>
      </c>
      <c r="E163" s="1">
        <f t="shared" si="10"/>
        <v>11.358833320999999</v>
      </c>
      <c r="F163" s="4">
        <v>654000000</v>
      </c>
      <c r="G163" s="8">
        <v>761000000</v>
      </c>
      <c r="H163" s="1">
        <v>10.44430476</v>
      </c>
      <c r="I163" s="1">
        <v>12.85274004</v>
      </c>
      <c r="J163" s="1">
        <v>11.648522399999999</v>
      </c>
      <c r="K163" s="1">
        <v>69</v>
      </c>
      <c r="L163" s="1">
        <v>257</v>
      </c>
      <c r="M163" s="1">
        <v>287</v>
      </c>
      <c r="N163" s="6">
        <v>3.3309448447406589</v>
      </c>
      <c r="O163" s="6">
        <f t="shared" si="6"/>
        <v>2.9865936556229937</v>
      </c>
      <c r="P163" s="6">
        <f t="shared" si="7"/>
        <v>3.6752960338583249</v>
      </c>
      <c r="Q163" s="7">
        <v>3.7122194488512137</v>
      </c>
      <c r="R163" s="7">
        <f t="shared" si="13"/>
        <v>3.3284523073760246</v>
      </c>
      <c r="S163" s="7">
        <f t="shared" si="14"/>
        <v>4.0959865903264037</v>
      </c>
      <c r="W163" s="7"/>
    </row>
    <row r="164" spans="1:23" x14ac:dyDescent="0.4">
      <c r="A164" s="1" t="s">
        <v>3</v>
      </c>
      <c r="B164" s="1">
        <v>2039</v>
      </c>
      <c r="C164" s="1">
        <v>12.67045504</v>
      </c>
      <c r="D164" s="1">
        <v>1.349763998</v>
      </c>
      <c r="E164" s="1">
        <f t="shared" si="10"/>
        <v>11.320691042</v>
      </c>
      <c r="F164" s="4">
        <v>654000000</v>
      </c>
      <c r="G164" s="8">
        <v>786000000</v>
      </c>
      <c r="H164" s="1">
        <v>10.261854019999999</v>
      </c>
      <c r="I164" s="1">
        <v>12.68091622</v>
      </c>
      <c r="J164" s="1">
        <v>11.471385120000001</v>
      </c>
      <c r="K164" s="1">
        <v>69</v>
      </c>
      <c r="L164" s="1">
        <v>257</v>
      </c>
      <c r="M164" s="1">
        <v>288</v>
      </c>
      <c r="N164" s="6">
        <v>3.328705517567887</v>
      </c>
      <c r="O164" s="6">
        <f t="shared" si="6"/>
        <v>2.9777302164928274</v>
      </c>
      <c r="P164" s="6">
        <f t="shared" si="7"/>
        <v>3.6796808186429457</v>
      </c>
      <c r="Q164" s="7">
        <v>3.8292680247679529</v>
      </c>
      <c r="R164" s="7">
        <f t="shared" si="13"/>
        <v>3.4255139255251921</v>
      </c>
      <c r="S164" s="7">
        <f t="shared" si="14"/>
        <v>4.2330221240107138</v>
      </c>
      <c r="W164" s="7"/>
    </row>
    <row r="165" spans="1:23" x14ac:dyDescent="0.4">
      <c r="A165" s="1" t="s">
        <v>3</v>
      </c>
      <c r="B165" s="1">
        <v>2040</v>
      </c>
      <c r="C165" s="1">
        <v>12.597903540000001</v>
      </c>
      <c r="D165" s="1">
        <v>1.3177585430000001</v>
      </c>
      <c r="E165" s="1">
        <f t="shared" si="10"/>
        <v>11.280144997000001</v>
      </c>
      <c r="F165" s="4">
        <v>654000000</v>
      </c>
      <c r="G165" s="8">
        <v>811000000</v>
      </c>
      <c r="H165" s="1">
        <v>10.13302301</v>
      </c>
      <c r="I165" s="1">
        <v>12.666779549999999</v>
      </c>
      <c r="J165" s="1">
        <v>11.39990128</v>
      </c>
      <c r="K165" s="1">
        <v>69</v>
      </c>
      <c r="L165" s="1">
        <v>257</v>
      </c>
      <c r="M165" s="1">
        <v>289</v>
      </c>
      <c r="N165" s="6">
        <v>3.3220409951637775</v>
      </c>
      <c r="O165" s="6">
        <f t="shared" si="6"/>
        <v>2.9528604693459113</v>
      </c>
      <c r="P165" s="6">
        <f t="shared" si="7"/>
        <v>3.6912215209816437</v>
      </c>
      <c r="Q165" s="7">
        <v>3.9423331644836526</v>
      </c>
      <c r="R165" s="7">
        <f t="shared" si="13"/>
        <v>3.5042191759049137</v>
      </c>
      <c r="S165" s="7">
        <f t="shared" si="14"/>
        <v>4.3804471530623923</v>
      </c>
      <c r="W165" s="7"/>
    </row>
    <row r="166" spans="1:23" x14ac:dyDescent="0.4">
      <c r="A166" s="1" t="s">
        <v>3</v>
      </c>
      <c r="B166" s="1">
        <v>2041</v>
      </c>
      <c r="C166" s="1">
        <v>12.55551863</v>
      </c>
      <c r="D166" s="1">
        <v>1.268181175</v>
      </c>
      <c r="E166" s="1">
        <f t="shared" si="10"/>
        <v>11.287337454999999</v>
      </c>
      <c r="F166" s="4">
        <v>654000000</v>
      </c>
      <c r="G166" s="8">
        <v>836000000</v>
      </c>
      <c r="H166" s="1">
        <v>10.258665540000001</v>
      </c>
      <c r="I166" s="1">
        <v>12.79987554</v>
      </c>
      <c r="J166" s="1">
        <v>11.529270540000001</v>
      </c>
      <c r="K166" s="1">
        <v>69</v>
      </c>
      <c r="L166" s="1">
        <v>257</v>
      </c>
      <c r="M166" s="1">
        <v>290</v>
      </c>
      <c r="N166" s="6">
        <v>3.3217133051735726</v>
      </c>
      <c r="O166" s="6">
        <f t="shared" si="6"/>
        <v>2.9556376267967801</v>
      </c>
      <c r="P166" s="6">
        <f t="shared" si="7"/>
        <v>3.687788983550365</v>
      </c>
      <c r="Q166" s="7">
        <v>4.0647666525929358</v>
      </c>
      <c r="R166" s="7">
        <f t="shared" si="13"/>
        <v>3.6168013789271622</v>
      </c>
      <c r="S166" s="7">
        <f t="shared" si="14"/>
        <v>4.5127319262587102</v>
      </c>
      <c r="W166" s="7"/>
    </row>
    <row r="167" spans="1:23" x14ac:dyDescent="0.4">
      <c r="A167" s="1" t="s">
        <v>3</v>
      </c>
      <c r="B167" s="1">
        <v>2042</v>
      </c>
      <c r="C167" s="1">
        <v>12.52054734</v>
      </c>
      <c r="D167" s="1">
        <v>1.172014691</v>
      </c>
      <c r="E167" s="1">
        <f t="shared" si="10"/>
        <v>11.348532649000001</v>
      </c>
      <c r="F167" s="4">
        <v>654000000</v>
      </c>
      <c r="G167" s="8">
        <v>861000000</v>
      </c>
      <c r="H167" s="1">
        <v>10.19620551</v>
      </c>
      <c r="I167" s="1">
        <v>12.87603983</v>
      </c>
      <c r="J167" s="1">
        <v>11.536122669999999</v>
      </c>
      <c r="K167" s="1">
        <v>69</v>
      </c>
      <c r="L167" s="1">
        <v>257</v>
      </c>
      <c r="M167" s="1">
        <v>290</v>
      </c>
      <c r="N167" s="6">
        <v>3.3305825260209088</v>
      </c>
      <c r="O167" s="6">
        <f t="shared" si="6"/>
        <v>2.9437363726753882</v>
      </c>
      <c r="P167" s="6">
        <f t="shared" si="7"/>
        <v>3.7174286793664297</v>
      </c>
      <c r="Q167" s="7">
        <v>4.2014282982526421</v>
      </c>
      <c r="R167" s="7">
        <f t="shared" si="13"/>
        <v>3.7134336717757455</v>
      </c>
      <c r="S167" s="7">
        <f t="shared" si="14"/>
        <v>4.6894229247295396</v>
      </c>
      <c r="W167" s="7"/>
    </row>
    <row r="168" spans="1:23" x14ac:dyDescent="0.4">
      <c r="A168" s="1" t="s">
        <v>3</v>
      </c>
      <c r="B168" s="1">
        <v>2043</v>
      </c>
      <c r="C168" s="1">
        <v>12.4476282</v>
      </c>
      <c r="D168" s="1">
        <v>1.077321822</v>
      </c>
      <c r="E168" s="1">
        <f t="shared" si="10"/>
        <v>11.370306378</v>
      </c>
      <c r="F168" s="4">
        <v>654000000</v>
      </c>
      <c r="G168" s="8">
        <v>872000000</v>
      </c>
      <c r="H168" s="1">
        <v>10.044428269999999</v>
      </c>
      <c r="I168" s="1">
        <v>12.856222499999999</v>
      </c>
      <c r="J168" s="1">
        <v>11.450325380000001</v>
      </c>
      <c r="K168" s="1">
        <v>69</v>
      </c>
      <c r="L168" s="1">
        <v>257</v>
      </c>
      <c r="M168" s="1">
        <v>291</v>
      </c>
      <c r="N168" s="6">
        <v>3.3345995524286907</v>
      </c>
      <c r="O168" s="6">
        <f t="shared" ref="O168:O225" si="15">N168*H168/J168</f>
        <v>2.9251698010300631</v>
      </c>
      <c r="P168" s="6">
        <f t="shared" ref="P168:P225" si="16">N168*I168/J168</f>
        <v>3.7440293067395483</v>
      </c>
      <c r="Q168" s="7">
        <v>4.3090740444206466</v>
      </c>
      <c r="R168" s="7">
        <f t="shared" si="13"/>
        <v>3.7799960885742072</v>
      </c>
      <c r="S168" s="7">
        <f t="shared" si="14"/>
        <v>4.8381520040303618</v>
      </c>
      <c r="W168" s="7"/>
    </row>
    <row r="169" spans="1:23" x14ac:dyDescent="0.4">
      <c r="A169" s="1" t="s">
        <v>3</v>
      </c>
      <c r="B169" s="1">
        <v>2044</v>
      </c>
      <c r="C169" s="1">
        <v>12.415377919999999</v>
      </c>
      <c r="D169" s="1">
        <v>1.037622641</v>
      </c>
      <c r="E169" s="1">
        <f t="shared" si="10"/>
        <v>11.377755278999999</v>
      </c>
      <c r="F169" s="4">
        <v>654000000</v>
      </c>
      <c r="G169" s="8">
        <v>872000000</v>
      </c>
      <c r="H169" s="1">
        <v>10.243400490000001</v>
      </c>
      <c r="I169" s="1">
        <v>12.668239099999999</v>
      </c>
      <c r="J169" s="1">
        <v>11.45581979</v>
      </c>
      <c r="K169" s="1">
        <v>69</v>
      </c>
      <c r="L169" s="1">
        <v>257</v>
      </c>
      <c r="M169" s="1">
        <v>292</v>
      </c>
      <c r="N169" s="6">
        <v>3.3353313572231431</v>
      </c>
      <c r="O169" s="6">
        <f t="shared" si="15"/>
        <v>2.98233871387496</v>
      </c>
      <c r="P169" s="6">
        <f t="shared" si="16"/>
        <v>3.6883240034828</v>
      </c>
      <c r="Q169" s="7">
        <v>4.3688744662504719</v>
      </c>
      <c r="R169" s="7">
        <f t="shared" si="13"/>
        <v>3.9064974544557298</v>
      </c>
      <c r="S169" s="7">
        <f t="shared" si="14"/>
        <v>4.8312514818588861</v>
      </c>
      <c r="W169" s="7"/>
    </row>
    <row r="170" spans="1:23" x14ac:dyDescent="0.4">
      <c r="A170" s="1" t="s">
        <v>3</v>
      </c>
      <c r="B170" s="1">
        <v>2045</v>
      </c>
      <c r="C170" s="1">
        <v>12.349481040000001</v>
      </c>
      <c r="D170" s="1">
        <v>0.99426087900000004</v>
      </c>
      <c r="E170" s="1">
        <f t="shared" si="10"/>
        <v>11.355220161</v>
      </c>
      <c r="F170" s="4">
        <v>654000000</v>
      </c>
      <c r="G170" s="8">
        <v>872000000</v>
      </c>
      <c r="H170" s="1">
        <v>10.220162439999999</v>
      </c>
      <c r="I170" s="1">
        <v>12.59914803</v>
      </c>
      <c r="J170" s="1">
        <v>11.409655239999999</v>
      </c>
      <c r="K170" s="1">
        <v>69</v>
      </c>
      <c r="L170" s="1">
        <v>257</v>
      </c>
      <c r="M170" s="1">
        <v>293</v>
      </c>
      <c r="N170" s="6">
        <v>3.330308445667324</v>
      </c>
      <c r="O170" s="6">
        <f t="shared" si="15"/>
        <v>2.9831132119311929</v>
      </c>
      <c r="P170" s="6">
        <f t="shared" si="16"/>
        <v>3.6775036764846045</v>
      </c>
      <c r="Q170" s="7">
        <v>4.3876906386410512</v>
      </c>
      <c r="R170" s="7">
        <f t="shared" si="13"/>
        <v>3.9302599526555793</v>
      </c>
      <c r="S170" s="7">
        <f t="shared" si="14"/>
        <v>4.8451213207809287</v>
      </c>
      <c r="W170" s="7"/>
    </row>
    <row r="171" spans="1:23" x14ac:dyDescent="0.4">
      <c r="A171" s="1" t="s">
        <v>3</v>
      </c>
      <c r="B171" s="1">
        <v>2046</v>
      </c>
      <c r="C171" s="1">
        <v>12.30512175</v>
      </c>
      <c r="D171" s="1">
        <v>0.94926118000000004</v>
      </c>
      <c r="E171" s="1">
        <f t="shared" si="10"/>
        <v>11.355860569999999</v>
      </c>
      <c r="F171" s="4">
        <v>654000000</v>
      </c>
      <c r="G171" s="8">
        <v>872000000</v>
      </c>
      <c r="H171" s="1">
        <v>10.35021208</v>
      </c>
      <c r="I171" s="1">
        <v>12.689253369999999</v>
      </c>
      <c r="J171" s="1">
        <v>11.519732729999999</v>
      </c>
      <c r="K171" s="1">
        <v>69</v>
      </c>
      <c r="L171" s="1">
        <v>257</v>
      </c>
      <c r="M171" s="1">
        <v>294</v>
      </c>
      <c r="N171" s="6">
        <v>3.3284839349130917</v>
      </c>
      <c r="O171" s="6">
        <f t="shared" si="15"/>
        <v>2.9905654444140404</v>
      </c>
      <c r="P171" s="6">
        <f t="shared" si="16"/>
        <v>3.6664024225227672</v>
      </c>
      <c r="Q171" s="7">
        <v>4.3973398167565545</v>
      </c>
      <c r="R171" s="7">
        <f t="shared" si="13"/>
        <v>3.9509076085360428</v>
      </c>
      <c r="S171" s="7">
        <f t="shared" si="14"/>
        <v>4.8437720211598432</v>
      </c>
      <c r="W171" s="7"/>
    </row>
    <row r="172" spans="1:23" x14ac:dyDescent="0.4">
      <c r="A172" s="1" t="s">
        <v>3</v>
      </c>
      <c r="B172" s="1">
        <v>2047</v>
      </c>
      <c r="C172" s="1">
        <v>12.216849079999999</v>
      </c>
      <c r="D172" s="1">
        <v>0.864983956</v>
      </c>
      <c r="E172" s="1">
        <f t="shared" si="10"/>
        <v>11.351865124</v>
      </c>
      <c r="F172" s="4">
        <v>654000000</v>
      </c>
      <c r="G172" s="8">
        <v>872000000</v>
      </c>
      <c r="H172" s="1">
        <v>10.396626319999999</v>
      </c>
      <c r="I172" s="1">
        <v>12.58921761</v>
      </c>
      <c r="J172" s="1">
        <v>11.492921969999999</v>
      </c>
      <c r="K172" s="1">
        <v>69</v>
      </c>
      <c r="L172" s="1">
        <v>257</v>
      </c>
      <c r="M172" s="1">
        <v>294</v>
      </c>
      <c r="N172" s="6">
        <v>3.3259008752258867</v>
      </c>
      <c r="O172" s="6">
        <f t="shared" si="15"/>
        <v>3.0086472932944215</v>
      </c>
      <c r="P172" s="6">
        <f t="shared" si="16"/>
        <v>3.6431544542634837</v>
      </c>
      <c r="Q172" s="7">
        <v>4.3991643677600258</v>
      </c>
      <c r="R172" s="7">
        <f t="shared" si="13"/>
        <v>3.9795335051648353</v>
      </c>
      <c r="S172" s="7">
        <f t="shared" si="14"/>
        <v>4.8187952265275005</v>
      </c>
      <c r="W172" s="7"/>
    </row>
    <row r="173" spans="1:23" x14ac:dyDescent="0.4">
      <c r="A173" s="1" t="s">
        <v>3</v>
      </c>
      <c r="B173" s="1">
        <v>2048</v>
      </c>
      <c r="C173" s="1">
        <v>12.16550494</v>
      </c>
      <c r="D173" s="1">
        <v>0.78885908500000002</v>
      </c>
      <c r="E173" s="1">
        <f t="shared" si="10"/>
        <v>11.376645855</v>
      </c>
      <c r="F173" s="4">
        <v>654000000</v>
      </c>
      <c r="G173" s="8">
        <v>872000000</v>
      </c>
      <c r="H173" s="1">
        <v>10.173147119999999</v>
      </c>
      <c r="I173" s="1">
        <v>12.583440100000001</v>
      </c>
      <c r="J173" s="1">
        <v>11.37829361</v>
      </c>
      <c r="K173" s="1">
        <v>69</v>
      </c>
      <c r="L173" s="1">
        <v>257</v>
      </c>
      <c r="M173" s="1">
        <v>295</v>
      </c>
      <c r="N173" s="6">
        <v>3.3292020633019384</v>
      </c>
      <c r="O173" s="6">
        <f t="shared" si="15"/>
        <v>2.9765853776538442</v>
      </c>
      <c r="P173" s="6">
        <f t="shared" si="16"/>
        <v>3.6818187489500325</v>
      </c>
      <c r="Q173" s="7">
        <v>4.4072796320665448</v>
      </c>
      <c r="R173" s="7">
        <f t="shared" si="13"/>
        <v>3.9404769847552235</v>
      </c>
      <c r="S173" s="7">
        <f t="shared" si="14"/>
        <v>4.8740822793778662</v>
      </c>
      <c r="W173" s="7"/>
    </row>
    <row r="174" spans="1:23" x14ac:dyDescent="0.4">
      <c r="A174" s="1" t="s">
        <v>3</v>
      </c>
      <c r="B174" s="1">
        <v>2049</v>
      </c>
      <c r="C174" s="1">
        <v>12.125240679999999</v>
      </c>
      <c r="D174" s="1">
        <v>0.74972716699999997</v>
      </c>
      <c r="E174" s="1">
        <f t="shared" si="10"/>
        <v>11.375513513</v>
      </c>
      <c r="F174" s="4">
        <v>654000000</v>
      </c>
      <c r="G174" s="8">
        <v>872000000</v>
      </c>
      <c r="H174" s="1">
        <v>10.43861817</v>
      </c>
      <c r="I174" s="1">
        <v>12.43178209</v>
      </c>
      <c r="J174" s="1">
        <v>11.43520013</v>
      </c>
      <c r="K174" s="1">
        <v>69</v>
      </c>
      <c r="L174" s="1">
        <v>257</v>
      </c>
      <c r="M174" s="1">
        <v>296</v>
      </c>
      <c r="N174" s="6">
        <v>3.3279568190829592</v>
      </c>
      <c r="O174" s="6">
        <f t="shared" si="15"/>
        <v>3.0379241399997059</v>
      </c>
      <c r="P174" s="6">
        <f t="shared" si="16"/>
        <v>3.617989498166212</v>
      </c>
      <c r="Q174" s="7">
        <v>4.4066879313223319</v>
      </c>
      <c r="R174" s="7">
        <f t="shared" si="13"/>
        <v>4.0226434331255563</v>
      </c>
      <c r="S174" s="7">
        <f t="shared" si="14"/>
        <v>4.7907324295191076</v>
      </c>
      <c r="W174" s="7"/>
    </row>
    <row r="175" spans="1:23" x14ac:dyDescent="0.4">
      <c r="A175" s="1" t="s">
        <v>3</v>
      </c>
      <c r="B175" s="1">
        <v>2050</v>
      </c>
      <c r="C175" s="1">
        <v>12.120358810000001</v>
      </c>
      <c r="D175" s="1">
        <v>0.71048334599999996</v>
      </c>
      <c r="E175" s="1">
        <f t="shared" si="10"/>
        <v>11.409875464000001</v>
      </c>
      <c r="F175" s="4">
        <v>654000000</v>
      </c>
      <c r="G175" s="8">
        <v>872000000</v>
      </c>
      <c r="H175" s="1">
        <v>10.660125620000001</v>
      </c>
      <c r="I175" s="1">
        <v>12.74237933</v>
      </c>
      <c r="J175" s="1">
        <v>11.70125247</v>
      </c>
      <c r="K175" s="1">
        <v>69</v>
      </c>
      <c r="L175" s="1">
        <v>257</v>
      </c>
      <c r="M175" s="1">
        <v>297</v>
      </c>
      <c r="N175" s="6">
        <v>3.33227778529259</v>
      </c>
      <c r="O175" s="6">
        <f t="shared" si="15"/>
        <v>3.0357861163177176</v>
      </c>
      <c r="P175" s="6">
        <f t="shared" si="16"/>
        <v>3.6287694571152582</v>
      </c>
      <c r="Q175" s="7">
        <v>4.4146805449439839</v>
      </c>
      <c r="R175" s="7">
        <f t="shared" si="13"/>
        <v>4.0218813585921138</v>
      </c>
      <c r="S175" s="7">
        <f t="shared" si="14"/>
        <v>4.8074797350686813</v>
      </c>
      <c r="W175" s="7"/>
    </row>
    <row r="176" spans="1:23" x14ac:dyDescent="0.4">
      <c r="A176" s="1" t="s">
        <v>3</v>
      </c>
      <c r="B176" s="1">
        <v>2051</v>
      </c>
      <c r="C176" s="1">
        <v>12.02946601</v>
      </c>
      <c r="D176" s="1">
        <v>0.64854047400000003</v>
      </c>
      <c r="E176" s="1">
        <f t="shared" si="10"/>
        <v>11.380925535999999</v>
      </c>
      <c r="F176" s="4">
        <v>654000000</v>
      </c>
      <c r="G176" s="8">
        <v>872000000</v>
      </c>
      <c r="H176" s="1">
        <v>10.11592488</v>
      </c>
      <c r="I176" s="1">
        <v>12.5666349</v>
      </c>
      <c r="J176" s="1">
        <v>11.341279889999999</v>
      </c>
      <c r="K176" s="1">
        <v>69</v>
      </c>
      <c r="L176" s="1">
        <v>257</v>
      </c>
      <c r="M176" s="1">
        <v>297</v>
      </c>
      <c r="N176" s="6">
        <v>3.3261711745605926</v>
      </c>
      <c r="O176" s="6">
        <f t="shared" si="15"/>
        <v>2.9667989914916317</v>
      </c>
      <c r="P176" s="6">
        <f t="shared" si="16"/>
        <v>3.6855433576295544</v>
      </c>
      <c r="Q176" s="7">
        <v>4.4053192299230757</v>
      </c>
      <c r="R176" s="7">
        <f t="shared" si="13"/>
        <v>3.9293517869720156</v>
      </c>
      <c r="S176" s="7">
        <f t="shared" si="14"/>
        <v>4.8812866728741362</v>
      </c>
      <c r="W176" s="7"/>
    </row>
    <row r="177" spans="1:23" x14ac:dyDescent="0.4">
      <c r="A177" s="1" t="s">
        <v>3</v>
      </c>
      <c r="B177" s="1">
        <v>2052</v>
      </c>
      <c r="C177" s="1">
        <v>11.95115622</v>
      </c>
      <c r="D177" s="1">
        <v>0.58807646999999996</v>
      </c>
      <c r="E177" s="1">
        <f t="shared" si="10"/>
        <v>11.363079749999999</v>
      </c>
      <c r="F177" s="4">
        <v>654000000</v>
      </c>
      <c r="G177" s="8">
        <v>872000000</v>
      </c>
      <c r="H177" s="1">
        <v>10.447194639999999</v>
      </c>
      <c r="I177" s="1">
        <v>12.69271957</v>
      </c>
      <c r="J177" s="1">
        <v>11.569957110000001</v>
      </c>
      <c r="K177" s="1">
        <v>69</v>
      </c>
      <c r="L177" s="1">
        <v>257</v>
      </c>
      <c r="M177" s="1">
        <v>298</v>
      </c>
      <c r="N177" s="6">
        <v>3.3221342854157592</v>
      </c>
      <c r="O177" s="6">
        <f t="shared" si="15"/>
        <v>2.9997504027009954</v>
      </c>
      <c r="P177" s="6">
        <f t="shared" si="16"/>
        <v>3.6445181652591772</v>
      </c>
      <c r="Q177" s="7">
        <v>4.3991467661872488</v>
      </c>
      <c r="R177" s="7">
        <f t="shared" si="13"/>
        <v>3.9722483047549306</v>
      </c>
      <c r="S177" s="7">
        <f t="shared" si="14"/>
        <v>4.826045223817351</v>
      </c>
      <c r="W177" s="7"/>
    </row>
    <row r="178" spans="1:23" x14ac:dyDescent="0.4">
      <c r="A178" s="1" t="s">
        <v>3</v>
      </c>
      <c r="B178" s="1">
        <v>2053</v>
      </c>
      <c r="C178" s="1">
        <v>11.851397990000001</v>
      </c>
      <c r="D178" s="1">
        <v>0.51672374499999996</v>
      </c>
      <c r="E178" s="1">
        <f t="shared" si="10"/>
        <v>11.334674245</v>
      </c>
      <c r="F178" s="4">
        <v>654000000</v>
      </c>
      <c r="G178" s="8">
        <v>872000000</v>
      </c>
      <c r="H178" s="1">
        <v>10.08026342</v>
      </c>
      <c r="I178" s="1">
        <v>12.7017059</v>
      </c>
      <c r="J178" s="1">
        <v>11.390984660000001</v>
      </c>
      <c r="K178" s="1">
        <v>69</v>
      </c>
      <c r="L178" s="1">
        <v>257</v>
      </c>
      <c r="M178" s="1">
        <v>299</v>
      </c>
      <c r="N178" s="6">
        <v>3.3155388178515208</v>
      </c>
      <c r="O178" s="6">
        <f t="shared" si="15"/>
        <v>2.9340312238800546</v>
      </c>
      <c r="P178" s="6">
        <f t="shared" si="16"/>
        <v>3.6970464118229867</v>
      </c>
      <c r="Q178" s="7">
        <v>4.3889760340779569</v>
      </c>
      <c r="R178" s="7">
        <f t="shared" si="13"/>
        <v>3.8839517292065864</v>
      </c>
      <c r="S178" s="7">
        <f t="shared" si="14"/>
        <v>4.8940003389493274</v>
      </c>
      <c r="W178" s="7"/>
    </row>
    <row r="179" spans="1:23" x14ac:dyDescent="0.4">
      <c r="A179" s="1" t="s">
        <v>3</v>
      </c>
      <c r="B179" s="1">
        <v>2054</v>
      </c>
      <c r="C179" s="1">
        <v>11.761098580000001</v>
      </c>
      <c r="D179" s="1">
        <v>0.54947670500000001</v>
      </c>
      <c r="E179" s="1">
        <f t="shared" si="10"/>
        <v>11.211621875000001</v>
      </c>
      <c r="F179" s="4">
        <v>654000000</v>
      </c>
      <c r="G179" s="8">
        <v>872000000</v>
      </c>
      <c r="H179" s="1">
        <v>9.8722012289999999</v>
      </c>
      <c r="I179" s="1">
        <v>12.37918891</v>
      </c>
      <c r="J179" s="1">
        <v>11.125695070000001</v>
      </c>
      <c r="K179" s="1">
        <v>69</v>
      </c>
      <c r="L179" s="1">
        <v>257</v>
      </c>
      <c r="M179" s="1">
        <v>300</v>
      </c>
      <c r="N179" s="6">
        <v>3.2924907258069989</v>
      </c>
      <c r="O179" s="6">
        <f t="shared" si="15"/>
        <v>2.9215371071447995</v>
      </c>
      <c r="P179" s="6">
        <f t="shared" si="16"/>
        <v>3.663444344173262</v>
      </c>
      <c r="Q179" s="7">
        <v>4.3520972262981257</v>
      </c>
      <c r="R179" s="7">
        <f t="shared" si="13"/>
        <v>3.8617613835238647</v>
      </c>
      <c r="S179" s="7">
        <f t="shared" si="14"/>
        <v>4.8424330686812107</v>
      </c>
      <c r="W179" s="7"/>
    </row>
    <row r="180" spans="1:23" x14ac:dyDescent="0.4">
      <c r="A180" s="1" t="s">
        <v>3</v>
      </c>
      <c r="B180" s="1">
        <v>2055</v>
      </c>
      <c r="C180" s="1">
        <v>11.75919371</v>
      </c>
      <c r="D180" s="1">
        <v>0.46988362700000003</v>
      </c>
      <c r="E180" s="1">
        <f t="shared" si="10"/>
        <v>11.289310083</v>
      </c>
      <c r="F180" s="4">
        <v>654000000</v>
      </c>
      <c r="G180" s="8">
        <v>872000000</v>
      </c>
      <c r="H180" s="1">
        <v>10.341029280000001</v>
      </c>
      <c r="I180" s="1">
        <v>12.64024981</v>
      </c>
      <c r="J180" s="1">
        <v>11.490639549999999</v>
      </c>
      <c r="K180" s="1">
        <v>69</v>
      </c>
      <c r="L180" s="1">
        <v>257</v>
      </c>
      <c r="M180" s="1">
        <v>300</v>
      </c>
      <c r="N180" s="6">
        <v>3.3015637056969012</v>
      </c>
      <c r="O180" s="6">
        <f t="shared" si="15"/>
        <v>2.9712503644235326</v>
      </c>
      <c r="P180" s="6">
        <f t="shared" si="16"/>
        <v>3.6318770440970063</v>
      </c>
      <c r="Q180" s="7">
        <v>4.3680991257016126</v>
      </c>
      <c r="R180" s="7">
        <f t="shared" si="13"/>
        <v>3.9310815346934089</v>
      </c>
      <c r="S180" s="7">
        <f t="shared" si="14"/>
        <v>4.8051167129083758</v>
      </c>
      <c r="W180" s="7"/>
    </row>
    <row r="181" spans="1:23" x14ac:dyDescent="0.4">
      <c r="A181" s="1" t="s">
        <v>3</v>
      </c>
      <c r="B181" s="1">
        <v>2056</v>
      </c>
      <c r="C181" s="1">
        <v>11.682907119999999</v>
      </c>
      <c r="D181" s="1">
        <v>0.43605561100000001</v>
      </c>
      <c r="E181" s="1">
        <f t="shared" si="10"/>
        <v>11.246851508999999</v>
      </c>
      <c r="F181" s="4">
        <v>654000000</v>
      </c>
      <c r="G181" s="8">
        <v>872000000</v>
      </c>
      <c r="H181" s="1">
        <v>10.123069320000001</v>
      </c>
      <c r="I181" s="1">
        <v>12.437924669999999</v>
      </c>
      <c r="J181" s="1">
        <v>11.28049699</v>
      </c>
      <c r="K181" s="1">
        <v>69</v>
      </c>
      <c r="L181" s="1">
        <v>257</v>
      </c>
      <c r="M181" s="1">
        <v>301</v>
      </c>
      <c r="N181" s="6">
        <v>3.2938551062447874</v>
      </c>
      <c r="O181" s="6">
        <f t="shared" si="15"/>
        <v>2.95589135834271</v>
      </c>
      <c r="P181" s="6">
        <f t="shared" si="16"/>
        <v>3.6318188570668211</v>
      </c>
      <c r="Q181" s="7">
        <v>4.3556965519485287</v>
      </c>
      <c r="R181" s="7">
        <f t="shared" si="13"/>
        <v>3.9087832895436945</v>
      </c>
      <c r="S181" s="7">
        <f t="shared" si="14"/>
        <v>4.8026098182146262</v>
      </c>
      <c r="W181" s="7"/>
    </row>
    <row r="182" spans="1:23" x14ac:dyDescent="0.4">
      <c r="A182" s="1" t="s">
        <v>3</v>
      </c>
      <c r="B182" s="1">
        <v>2057</v>
      </c>
      <c r="C182" s="1">
        <v>11.635602649999999</v>
      </c>
      <c r="D182" s="1">
        <v>0.38856377800000003</v>
      </c>
      <c r="E182" s="1">
        <f t="shared" si="10"/>
        <v>11.247038871999999</v>
      </c>
      <c r="F182" s="4">
        <v>654000000</v>
      </c>
      <c r="G182" s="8">
        <v>872000000</v>
      </c>
      <c r="H182" s="1">
        <v>10.25484911</v>
      </c>
      <c r="I182" s="1">
        <v>12.45056746</v>
      </c>
      <c r="J182" s="1">
        <v>11.35270828</v>
      </c>
      <c r="K182" s="1">
        <v>69</v>
      </c>
      <c r="L182" s="1">
        <v>257</v>
      </c>
      <c r="M182" s="1">
        <v>302</v>
      </c>
      <c r="N182" s="6">
        <v>3.2919438795787022</v>
      </c>
      <c r="O182" s="6">
        <f t="shared" si="15"/>
        <v>2.9735977469921915</v>
      </c>
      <c r="P182" s="6">
        <f t="shared" si="16"/>
        <v>3.610290015064912</v>
      </c>
      <c r="Q182" s="7">
        <v>4.3531595881745373</v>
      </c>
      <c r="R182" s="7">
        <f t="shared" si="13"/>
        <v>3.9321890096589023</v>
      </c>
      <c r="S182" s="7">
        <f t="shared" si="14"/>
        <v>4.7741301705246402</v>
      </c>
      <c r="W182" s="7"/>
    </row>
    <row r="183" spans="1:23" x14ac:dyDescent="0.4">
      <c r="A183" s="1" t="s">
        <v>3</v>
      </c>
      <c r="B183" s="1">
        <v>2058</v>
      </c>
      <c r="C183" s="1">
        <v>11.564893659999999</v>
      </c>
      <c r="D183" s="1">
        <v>0.32186523299999997</v>
      </c>
      <c r="E183" s="1">
        <f t="shared" si="10"/>
        <v>11.243028426999999</v>
      </c>
      <c r="F183" s="4">
        <v>654000000</v>
      </c>
      <c r="G183" s="8">
        <v>872000000</v>
      </c>
      <c r="H183" s="1">
        <v>10.38067961</v>
      </c>
      <c r="I183" s="1">
        <v>12.57271633</v>
      </c>
      <c r="J183" s="1">
        <v>11.47669797</v>
      </c>
      <c r="K183" s="1">
        <v>69</v>
      </c>
      <c r="L183" s="1">
        <v>257</v>
      </c>
      <c r="M183" s="1">
        <v>303</v>
      </c>
      <c r="N183" s="6">
        <v>3.2893869858196743</v>
      </c>
      <c r="O183" s="6">
        <f t="shared" si="15"/>
        <v>2.9752523332368961</v>
      </c>
      <c r="P183" s="6">
        <f t="shared" si="16"/>
        <v>3.6035216384024524</v>
      </c>
      <c r="Q183" s="7">
        <v>4.3495501979372371</v>
      </c>
      <c r="R183" s="7">
        <f t="shared" si="13"/>
        <v>3.934170540204478</v>
      </c>
      <c r="S183" s="7">
        <f t="shared" si="14"/>
        <v>4.7649298556699957</v>
      </c>
      <c r="W183" s="7"/>
    </row>
    <row r="184" spans="1:23" x14ac:dyDescent="0.4">
      <c r="A184" s="1" t="s">
        <v>3</v>
      </c>
      <c r="B184" s="1">
        <v>2059</v>
      </c>
      <c r="C184" s="1">
        <v>11.494459340000001</v>
      </c>
      <c r="D184" s="1">
        <v>0.30958164399999999</v>
      </c>
      <c r="E184" s="1">
        <f t="shared" si="10"/>
        <v>11.184877696000001</v>
      </c>
      <c r="F184" s="4">
        <v>654000000</v>
      </c>
      <c r="G184" s="8">
        <v>872000000</v>
      </c>
      <c r="H184" s="1">
        <v>10.06649522</v>
      </c>
      <c r="I184" s="1">
        <v>12.57243549</v>
      </c>
      <c r="J184" s="1">
        <v>11.31946535</v>
      </c>
      <c r="K184" s="1">
        <v>69</v>
      </c>
      <c r="L184" s="1">
        <v>257</v>
      </c>
      <c r="M184" s="1">
        <v>303</v>
      </c>
      <c r="N184" s="6">
        <v>3.2777585776165279</v>
      </c>
      <c r="O184" s="6">
        <f t="shared" si="15"/>
        <v>2.9149381206322413</v>
      </c>
      <c r="P184" s="6">
        <f t="shared" si="16"/>
        <v>3.6405790374964977</v>
      </c>
      <c r="Q184" s="7">
        <v>4.3311304958749837</v>
      </c>
      <c r="R184" s="7">
        <f t="shared" si="13"/>
        <v>3.8517105787087154</v>
      </c>
      <c r="S184" s="7">
        <f t="shared" si="14"/>
        <v>4.8105504168675193</v>
      </c>
      <c r="W184" s="7"/>
    </row>
    <row r="185" spans="1:23" x14ac:dyDescent="0.4">
      <c r="A185" s="1" t="s">
        <v>3</v>
      </c>
      <c r="B185" s="1">
        <v>2060</v>
      </c>
      <c r="C185" s="1">
        <v>11.417146000000001</v>
      </c>
      <c r="D185" s="1">
        <v>0.29689743299999999</v>
      </c>
      <c r="E185" s="1">
        <f t="shared" si="10"/>
        <v>11.120248567000001</v>
      </c>
      <c r="F185" s="4">
        <v>654000000</v>
      </c>
      <c r="G185" s="8">
        <v>872000000</v>
      </c>
      <c r="H185" s="1">
        <v>9.9967054760000007</v>
      </c>
      <c r="I185" s="1">
        <v>12.67955237</v>
      </c>
      <c r="J185" s="1">
        <v>11.33812893</v>
      </c>
      <c r="K185" s="1">
        <v>69</v>
      </c>
      <c r="L185" s="1">
        <v>257</v>
      </c>
      <c r="M185" s="1">
        <v>304</v>
      </c>
      <c r="N185" s="6">
        <v>3.2652481199796402</v>
      </c>
      <c r="O185" s="6">
        <f t="shared" si="15"/>
        <v>2.8789339019713527</v>
      </c>
      <c r="P185" s="6">
        <f t="shared" si="16"/>
        <v>3.6515623339560919</v>
      </c>
      <c r="Q185" s="7">
        <v>4.3112096957741919</v>
      </c>
      <c r="R185" s="7">
        <f t="shared" si="13"/>
        <v>3.8011468946958038</v>
      </c>
      <c r="S185" s="7">
        <f t="shared" si="14"/>
        <v>4.8212724915292204</v>
      </c>
      <c r="W185" s="7"/>
    </row>
    <row r="186" spans="1:23" x14ac:dyDescent="0.4">
      <c r="A186" s="1" t="s">
        <v>3</v>
      </c>
      <c r="B186" s="1">
        <v>2061</v>
      </c>
      <c r="C186" s="1">
        <v>11.386013999999999</v>
      </c>
      <c r="D186" s="1">
        <v>0.27756779599999998</v>
      </c>
      <c r="E186" s="1">
        <f t="shared" si="10"/>
        <v>11.108446204</v>
      </c>
      <c r="F186" s="4">
        <v>654000000</v>
      </c>
      <c r="G186" s="8">
        <v>872000000</v>
      </c>
      <c r="H186" s="1">
        <v>9.9209863889999994</v>
      </c>
      <c r="I186" s="1">
        <v>12.70973787</v>
      </c>
      <c r="J186" s="1">
        <v>11.31536213</v>
      </c>
      <c r="K186" s="1">
        <v>69</v>
      </c>
      <c r="L186" s="1">
        <v>257</v>
      </c>
      <c r="M186" s="1">
        <v>305</v>
      </c>
      <c r="N186" s="6">
        <v>3.2605207052869365</v>
      </c>
      <c r="O186" s="6">
        <f t="shared" si="15"/>
        <v>2.8587314454958919</v>
      </c>
      <c r="P186" s="6">
        <f t="shared" si="16"/>
        <v>3.6623099647898307</v>
      </c>
      <c r="Q186" s="7">
        <v>4.3043148097366331</v>
      </c>
      <c r="R186" s="7">
        <f t="shared" si="13"/>
        <v>3.7739003092222072</v>
      </c>
      <c r="S186" s="7">
        <f t="shared" si="14"/>
        <v>4.8347293098706627</v>
      </c>
      <c r="W186" s="7"/>
    </row>
    <row r="187" spans="1:23" x14ac:dyDescent="0.4">
      <c r="A187" s="1" t="s">
        <v>3</v>
      </c>
      <c r="B187" s="1">
        <v>2062</v>
      </c>
      <c r="C187" s="1">
        <v>11.313259110000001</v>
      </c>
      <c r="D187" s="1">
        <v>0.20999105000000001</v>
      </c>
      <c r="E187" s="1">
        <f t="shared" si="10"/>
        <v>11.103268060000001</v>
      </c>
      <c r="F187" s="4">
        <v>654000000</v>
      </c>
      <c r="G187" s="8">
        <v>872000000</v>
      </c>
      <c r="H187" s="1">
        <v>10.03672763</v>
      </c>
      <c r="I187" s="1">
        <v>12.741546189999999</v>
      </c>
      <c r="J187" s="1">
        <v>11.38913691</v>
      </c>
      <c r="K187" s="1">
        <v>69</v>
      </c>
      <c r="L187" s="1">
        <v>257</v>
      </c>
      <c r="M187" s="1">
        <v>306</v>
      </c>
      <c r="N187" s="6">
        <v>3.2572551141124184</v>
      </c>
      <c r="O187" s="6">
        <f t="shared" si="15"/>
        <v>2.8704705773680015</v>
      </c>
      <c r="P187" s="6">
        <f t="shared" si="16"/>
        <v>3.6440396508568358</v>
      </c>
      <c r="Q187" s="7">
        <v>4.2997011024215936</v>
      </c>
      <c r="R187" s="7">
        <f t="shared" si="13"/>
        <v>3.7891307476973921</v>
      </c>
      <c r="S187" s="7">
        <f t="shared" si="14"/>
        <v>4.8102714571457952</v>
      </c>
      <c r="W187" s="7"/>
    </row>
    <row r="188" spans="1:23" x14ac:dyDescent="0.4">
      <c r="A188" s="1" t="s">
        <v>3</v>
      </c>
      <c r="B188" s="1">
        <v>2063</v>
      </c>
      <c r="C188" s="1">
        <v>11.260354449999999</v>
      </c>
      <c r="D188" s="1">
        <v>0.21332785800000001</v>
      </c>
      <c r="E188" s="1">
        <f t="shared" si="10"/>
        <v>11.047026592</v>
      </c>
      <c r="F188" s="4">
        <v>654000000</v>
      </c>
      <c r="G188" s="8">
        <v>872000000</v>
      </c>
      <c r="H188" s="1">
        <v>9.9762954750000006</v>
      </c>
      <c r="I188" s="1">
        <v>12.730312639999999</v>
      </c>
      <c r="J188" s="1">
        <v>11.353304059999999</v>
      </c>
      <c r="K188" s="1">
        <v>69</v>
      </c>
      <c r="L188" s="1">
        <v>257</v>
      </c>
      <c r="M188" s="1">
        <v>306</v>
      </c>
      <c r="N188" s="6">
        <v>3.2458450777741676</v>
      </c>
      <c r="O188" s="6">
        <f t="shared" si="15"/>
        <v>2.852166152762182</v>
      </c>
      <c r="P188" s="6">
        <f t="shared" si="16"/>
        <v>3.6395240013566821</v>
      </c>
      <c r="Q188" s="7">
        <v>4.2816679086569938</v>
      </c>
      <c r="R188" s="7">
        <f t="shared" si="13"/>
        <v>3.7623571038744372</v>
      </c>
      <c r="S188" s="7">
        <f t="shared" si="14"/>
        <v>4.8009787115539027</v>
      </c>
      <c r="W188" s="7"/>
    </row>
    <row r="189" spans="1:23" x14ac:dyDescent="0.4">
      <c r="A189" s="1" t="s">
        <v>3</v>
      </c>
      <c r="B189" s="1">
        <v>2064</v>
      </c>
      <c r="C189" s="1">
        <v>11.21234473</v>
      </c>
      <c r="D189" s="1">
        <v>0.233382112</v>
      </c>
      <c r="E189" s="1">
        <f t="shared" si="10"/>
        <v>10.978962618000001</v>
      </c>
      <c r="F189" s="4">
        <v>654000000</v>
      </c>
      <c r="G189" s="8">
        <v>872000000</v>
      </c>
      <c r="H189" s="1">
        <v>9.8576945069999997</v>
      </c>
      <c r="I189" s="1">
        <v>12.8119149</v>
      </c>
      <c r="J189" s="1">
        <v>11.334804699999999</v>
      </c>
      <c r="K189" s="1">
        <v>69</v>
      </c>
      <c r="L189" s="1">
        <v>257</v>
      </c>
      <c r="M189" s="1">
        <v>307</v>
      </c>
      <c r="N189" s="6">
        <v>3.23286944341806</v>
      </c>
      <c r="O189" s="6">
        <f t="shared" si="15"/>
        <v>2.8115737498529958</v>
      </c>
      <c r="P189" s="6">
        <f t="shared" si="16"/>
        <v>3.6541651389796379</v>
      </c>
      <c r="Q189" s="7">
        <v>4.2609544866600251</v>
      </c>
      <c r="R189" s="7">
        <f t="shared" si="13"/>
        <v>3.7056825194108138</v>
      </c>
      <c r="S189" s="7">
        <f t="shared" si="14"/>
        <v>4.8162264565406607</v>
      </c>
      <c r="W189" s="7"/>
    </row>
    <row r="190" spans="1:23" x14ac:dyDescent="0.4">
      <c r="A190" s="1" t="s">
        <v>3</v>
      </c>
      <c r="B190" s="1">
        <v>2065</v>
      </c>
      <c r="C190" s="1">
        <v>11.149697270000001</v>
      </c>
      <c r="D190" s="1">
        <v>0.22243868899999999</v>
      </c>
      <c r="E190" s="1">
        <f t="shared" si="10"/>
        <v>10.927258581</v>
      </c>
      <c r="F190" s="4">
        <v>654000000</v>
      </c>
      <c r="G190" s="8">
        <v>872000000</v>
      </c>
      <c r="H190" s="1">
        <v>9.7217214330000008</v>
      </c>
      <c r="I190" s="1">
        <v>12.73414764</v>
      </c>
      <c r="J190" s="1">
        <v>11.22793454</v>
      </c>
      <c r="K190" s="1">
        <v>69</v>
      </c>
      <c r="L190" s="1">
        <v>257</v>
      </c>
      <c r="M190" s="1">
        <v>308</v>
      </c>
      <c r="N190" s="6">
        <v>3.2216418526155777</v>
      </c>
      <c r="O190" s="6">
        <f t="shared" si="15"/>
        <v>2.7894627045111622</v>
      </c>
      <c r="P190" s="6">
        <f t="shared" si="16"/>
        <v>3.6538209987114771</v>
      </c>
      <c r="Q190" s="7">
        <v>4.2433920379926393</v>
      </c>
      <c r="R190" s="7">
        <f t="shared" si="13"/>
        <v>3.6741464048805001</v>
      </c>
      <c r="S190" s="7">
        <f t="shared" si="14"/>
        <v>4.8126376684592564</v>
      </c>
      <c r="W190" s="7"/>
    </row>
    <row r="191" spans="1:23" x14ac:dyDescent="0.4">
      <c r="A191" s="1" t="s">
        <v>3</v>
      </c>
      <c r="B191" s="1">
        <v>2066</v>
      </c>
      <c r="C191" s="1">
        <v>11.12362506</v>
      </c>
      <c r="D191" s="1">
        <v>0.161958677</v>
      </c>
      <c r="E191" s="1">
        <f t="shared" si="10"/>
        <v>10.961666383000001</v>
      </c>
      <c r="F191" s="4">
        <v>654000000</v>
      </c>
      <c r="G191" s="8">
        <v>872000000</v>
      </c>
      <c r="H191" s="1">
        <v>10.02410283</v>
      </c>
      <c r="I191" s="1">
        <v>12.52167592</v>
      </c>
      <c r="J191" s="1">
        <v>11.272889380000001</v>
      </c>
      <c r="K191" s="1">
        <v>69</v>
      </c>
      <c r="L191" s="1">
        <v>257</v>
      </c>
      <c r="M191" s="1">
        <v>309</v>
      </c>
      <c r="N191" s="6">
        <v>3.2242949156940792</v>
      </c>
      <c r="O191" s="6">
        <f t="shared" si="15"/>
        <v>2.8671144282233372</v>
      </c>
      <c r="P191" s="6">
        <f t="shared" si="16"/>
        <v>3.5814754003046008</v>
      </c>
      <c r="Q191" s="7">
        <v>4.2486545910463995</v>
      </c>
      <c r="R191" s="7">
        <f t="shared" si="13"/>
        <v>3.7779977319178402</v>
      </c>
      <c r="S191" s="7">
        <f t="shared" si="14"/>
        <v>4.7193114464060448</v>
      </c>
      <c r="W191" s="7"/>
    </row>
    <row r="192" spans="1:23" x14ac:dyDescent="0.4">
      <c r="A192" s="1" t="s">
        <v>3</v>
      </c>
      <c r="B192" s="1">
        <v>2067</v>
      </c>
      <c r="C192" s="1">
        <v>10.988896799999999</v>
      </c>
      <c r="D192" s="1">
        <v>0.16044979500000001</v>
      </c>
      <c r="E192" s="1">
        <f t="shared" si="10"/>
        <v>10.828447004999999</v>
      </c>
      <c r="F192" s="4">
        <v>654000000</v>
      </c>
      <c r="G192" s="8">
        <v>872000000</v>
      </c>
      <c r="H192" s="1">
        <v>9.9378700210000002</v>
      </c>
      <c r="I192" s="1">
        <v>12.402552549999999</v>
      </c>
      <c r="J192" s="1">
        <v>11.17021128</v>
      </c>
      <c r="K192" s="1">
        <v>69</v>
      </c>
      <c r="L192" s="1">
        <v>257</v>
      </c>
      <c r="M192" s="1">
        <v>309</v>
      </c>
      <c r="N192" s="6">
        <v>3.2008973440209836</v>
      </c>
      <c r="O192" s="6">
        <f t="shared" si="15"/>
        <v>2.8477618693211193</v>
      </c>
      <c r="P192" s="6">
        <f t="shared" si="16"/>
        <v>3.5540328218729691</v>
      </c>
      <c r="Q192" s="7">
        <v>4.2107784923733664</v>
      </c>
      <c r="R192" s="7">
        <f t="shared" si="13"/>
        <v>3.7462289920472172</v>
      </c>
      <c r="S192" s="7">
        <f t="shared" si="14"/>
        <v>4.6753279968461303</v>
      </c>
      <c r="W192" s="7"/>
    </row>
    <row r="193" spans="1:23" x14ac:dyDescent="0.4">
      <c r="A193" s="1" t="s">
        <v>3</v>
      </c>
      <c r="B193" s="1">
        <v>2068</v>
      </c>
      <c r="C193" s="1">
        <v>10.94281739</v>
      </c>
      <c r="D193" s="1">
        <v>0.16315190800000001</v>
      </c>
      <c r="E193" s="1">
        <f t="shared" si="10"/>
        <v>10.779665482</v>
      </c>
      <c r="F193" s="4">
        <v>654000000</v>
      </c>
      <c r="G193" s="8">
        <v>872000000</v>
      </c>
      <c r="H193" s="1">
        <v>9.2100208860000006</v>
      </c>
      <c r="I193" s="1">
        <v>12.374782270000001</v>
      </c>
      <c r="J193" s="1">
        <v>10.79240158</v>
      </c>
      <c r="K193" s="1">
        <v>69</v>
      </c>
      <c r="L193" s="1">
        <v>257</v>
      </c>
      <c r="M193" s="1">
        <v>310</v>
      </c>
      <c r="N193" s="6">
        <v>3.1903105326292009</v>
      </c>
      <c r="O193" s="6">
        <f t="shared" si="15"/>
        <v>2.7225475646487878</v>
      </c>
      <c r="P193" s="6">
        <f t="shared" si="16"/>
        <v>3.6580734994271866</v>
      </c>
      <c r="Q193" s="7">
        <v>4.1942169420229121</v>
      </c>
      <c r="R193" s="7">
        <f t="shared" si="13"/>
        <v>3.5792613303077325</v>
      </c>
      <c r="S193" s="7">
        <f t="shared" si="14"/>
        <v>4.8091725521835853</v>
      </c>
      <c r="W193" s="7"/>
    </row>
    <row r="194" spans="1:23" x14ac:dyDescent="0.4">
      <c r="A194" s="1" t="s">
        <v>3</v>
      </c>
      <c r="B194" s="1">
        <v>2069</v>
      </c>
      <c r="C194" s="1">
        <v>10.88698138</v>
      </c>
      <c r="D194" s="1">
        <v>0.15122254700000001</v>
      </c>
      <c r="E194" s="1">
        <f t="shared" si="10"/>
        <v>10.735758833</v>
      </c>
      <c r="F194" s="4">
        <v>654000000</v>
      </c>
      <c r="G194" s="8">
        <v>872000000</v>
      </c>
      <c r="H194" s="1">
        <v>9.1676421660000003</v>
      </c>
      <c r="I194" s="1">
        <v>12.57014779</v>
      </c>
      <c r="J194" s="1">
        <v>10.86889498</v>
      </c>
      <c r="K194" s="1">
        <v>69</v>
      </c>
      <c r="L194" s="1">
        <v>257</v>
      </c>
      <c r="M194" s="1">
        <v>311</v>
      </c>
      <c r="N194" s="6">
        <v>3.1804253640293152</v>
      </c>
      <c r="O194" s="6">
        <f t="shared" si="15"/>
        <v>2.682609568566376</v>
      </c>
      <c r="P194" s="6">
        <f t="shared" si="16"/>
        <v>3.6782411583217858</v>
      </c>
      <c r="Q194" s="7">
        <v>4.1788353310839579</v>
      </c>
      <c r="R194" s="7">
        <f t="shared" si="13"/>
        <v>3.5247435048834985</v>
      </c>
      <c r="S194" s="7">
        <f t="shared" si="14"/>
        <v>4.8329271557465106</v>
      </c>
      <c r="W194" s="7"/>
    </row>
    <row r="195" spans="1:23" x14ac:dyDescent="0.4">
      <c r="A195" s="1" t="s">
        <v>3</v>
      </c>
      <c r="B195" s="1">
        <v>2070</v>
      </c>
      <c r="C195" s="1">
        <v>10.827622549999999</v>
      </c>
      <c r="D195" s="1">
        <v>0.14356764599999999</v>
      </c>
      <c r="E195" s="1">
        <f t="shared" ref="E195:E225" si="17">C195-D195</f>
        <v>10.684054904</v>
      </c>
      <c r="F195" s="4">
        <v>654000000</v>
      </c>
      <c r="G195" s="8">
        <v>872000000</v>
      </c>
      <c r="H195" s="1">
        <v>9.0428610819999999</v>
      </c>
      <c r="I195" s="1">
        <v>12.410926699999999</v>
      </c>
      <c r="J195" s="1">
        <v>10.726893889999999</v>
      </c>
      <c r="K195" s="1">
        <v>69</v>
      </c>
      <c r="L195" s="1">
        <v>257</v>
      </c>
      <c r="M195" s="1">
        <v>312</v>
      </c>
      <c r="N195" s="6">
        <v>3.1693566785464915</v>
      </c>
      <c r="O195" s="6">
        <f t="shared" si="15"/>
        <v>2.6717941332600295</v>
      </c>
      <c r="P195" s="6">
        <f t="shared" si="16"/>
        <v>3.6669192244238715</v>
      </c>
      <c r="Q195" s="7">
        <v>4.1614847584834038</v>
      </c>
      <c r="R195" s="7">
        <f t="shared" si="13"/>
        <v>3.5081663855095466</v>
      </c>
      <c r="S195" s="7">
        <f t="shared" si="14"/>
        <v>4.8148031322331581</v>
      </c>
      <c r="W195" s="7"/>
    </row>
    <row r="196" spans="1:23" x14ac:dyDescent="0.4">
      <c r="A196" s="1" t="s">
        <v>3</v>
      </c>
      <c r="B196" s="1">
        <v>2071</v>
      </c>
      <c r="C196" s="1">
        <v>10.753484200000001</v>
      </c>
      <c r="D196" s="1">
        <v>0.12974570799999999</v>
      </c>
      <c r="E196" s="1">
        <f t="shared" si="17"/>
        <v>10.623738492000001</v>
      </c>
      <c r="F196" s="4">
        <v>654000000</v>
      </c>
      <c r="G196" s="8">
        <v>872000000</v>
      </c>
      <c r="H196" s="1">
        <v>8.8622252820000007</v>
      </c>
      <c r="I196" s="1">
        <v>12.55264442</v>
      </c>
      <c r="J196" s="1">
        <v>10.70743485</v>
      </c>
      <c r="K196" s="1">
        <v>69</v>
      </c>
      <c r="L196" s="1">
        <v>257</v>
      </c>
      <c r="M196" s="1">
        <v>312</v>
      </c>
      <c r="N196" s="6">
        <v>3.1568786508817768</v>
      </c>
      <c r="O196" s="6">
        <f t="shared" si="15"/>
        <v>2.6128545430328289</v>
      </c>
      <c r="P196" s="6">
        <f t="shared" si="16"/>
        <v>3.7009027593203863</v>
      </c>
      <c r="Q196" s="7">
        <v>4.1418232513112478</v>
      </c>
      <c r="R196" s="7">
        <f t="shared" si="13"/>
        <v>3.428063886967847</v>
      </c>
      <c r="S196" s="7">
        <f t="shared" si="14"/>
        <v>4.8555826164282836</v>
      </c>
      <c r="W196" s="7"/>
    </row>
    <row r="197" spans="1:23" x14ac:dyDescent="0.4">
      <c r="A197" s="1" t="s">
        <v>3</v>
      </c>
      <c r="B197" s="1">
        <v>2072</v>
      </c>
      <c r="C197" s="1">
        <v>10.648446229999999</v>
      </c>
      <c r="D197" s="1">
        <v>0.11318619100000001</v>
      </c>
      <c r="E197" s="1">
        <f t="shared" si="17"/>
        <v>10.535260038999999</v>
      </c>
      <c r="F197" s="4">
        <v>654000000</v>
      </c>
      <c r="G197" s="8">
        <v>872000000</v>
      </c>
      <c r="H197" s="1">
        <v>8.6179362939999997</v>
      </c>
      <c r="I197" s="1">
        <v>12.397096360000001</v>
      </c>
      <c r="J197" s="1">
        <v>10.50751633</v>
      </c>
      <c r="K197" s="1">
        <v>69</v>
      </c>
      <c r="L197" s="1">
        <v>257</v>
      </c>
      <c r="M197" s="1">
        <v>313</v>
      </c>
      <c r="N197" s="6">
        <v>3.1407410350233884</v>
      </c>
      <c r="O197" s="6">
        <f t="shared" si="15"/>
        <v>2.575937577037597</v>
      </c>
      <c r="P197" s="6">
        <f t="shared" si="16"/>
        <v>3.7055444912157545</v>
      </c>
      <c r="Q197" s="7">
        <v>4.1158703081919619</v>
      </c>
      <c r="R197" s="7">
        <f t="shared" si="13"/>
        <v>3.3757081118297414</v>
      </c>
      <c r="S197" s="7">
        <f t="shared" si="14"/>
        <v>4.8560325022039397</v>
      </c>
      <c r="W197" s="7"/>
    </row>
    <row r="198" spans="1:23" x14ac:dyDescent="0.4">
      <c r="A198" s="1" t="s">
        <v>3</v>
      </c>
      <c r="B198" s="1">
        <v>2073</v>
      </c>
      <c r="C198" s="1">
        <v>10.5876497</v>
      </c>
      <c r="D198" s="1">
        <v>0.10985252700000001</v>
      </c>
      <c r="E198" s="1">
        <f t="shared" si="17"/>
        <v>10.477797173000001</v>
      </c>
      <c r="F198" s="4">
        <v>654000000</v>
      </c>
      <c r="G198" s="8">
        <v>872000000</v>
      </c>
      <c r="H198" s="1">
        <v>8.4498472299999996</v>
      </c>
      <c r="I198" s="1">
        <v>12.261192080000001</v>
      </c>
      <c r="J198" s="1">
        <v>10.355519660000001</v>
      </c>
      <c r="K198" s="1">
        <v>69</v>
      </c>
      <c r="L198" s="1">
        <v>257</v>
      </c>
      <c r="M198" s="1">
        <v>314</v>
      </c>
      <c r="N198" s="6">
        <v>3.128657000307919</v>
      </c>
      <c r="O198" s="6">
        <f t="shared" si="15"/>
        <v>2.5529065228651184</v>
      </c>
      <c r="P198" s="6">
        <f t="shared" si="16"/>
        <v>3.7044074747294733</v>
      </c>
      <c r="Q198" s="7">
        <v>4.0968771956772105</v>
      </c>
      <c r="R198" s="7">
        <f t="shared" si="13"/>
        <v>3.3429501908302339</v>
      </c>
      <c r="S198" s="7">
        <f t="shared" si="14"/>
        <v>4.8508041965679611</v>
      </c>
      <c r="W198" s="7"/>
    </row>
    <row r="199" spans="1:23" x14ac:dyDescent="0.4">
      <c r="A199" s="1" t="s">
        <v>3</v>
      </c>
      <c r="B199" s="1">
        <v>2074</v>
      </c>
      <c r="C199" s="1">
        <v>10.478302279999999</v>
      </c>
      <c r="D199" s="1">
        <v>9.5988700999999996E-2</v>
      </c>
      <c r="E199" s="1">
        <f t="shared" si="17"/>
        <v>10.382313579</v>
      </c>
      <c r="F199" s="4">
        <v>654000000</v>
      </c>
      <c r="G199" s="8">
        <v>872000000</v>
      </c>
      <c r="H199" s="1">
        <v>8.4940923129999995</v>
      </c>
      <c r="I199" s="1">
        <v>12.14639274</v>
      </c>
      <c r="J199" s="1">
        <v>10.32024253</v>
      </c>
      <c r="K199" s="1">
        <v>69</v>
      </c>
      <c r="L199" s="1">
        <v>257</v>
      </c>
      <c r="M199" s="1">
        <v>315</v>
      </c>
      <c r="N199" s="6">
        <v>3.1107030794125876</v>
      </c>
      <c r="O199" s="6">
        <f t="shared" si="15"/>
        <v>2.5602692027881915</v>
      </c>
      <c r="P199" s="6">
        <f t="shared" si="16"/>
        <v>3.66113695392706</v>
      </c>
      <c r="Q199" s="7">
        <v>4.068151289587032</v>
      </c>
      <c r="R199" s="7">
        <f t="shared" si="13"/>
        <v>3.3482985013727431</v>
      </c>
      <c r="S199" s="7">
        <f t="shared" si="14"/>
        <v>4.7880040750419814</v>
      </c>
      <c r="W199" s="7"/>
    </row>
    <row r="200" spans="1:23" x14ac:dyDescent="0.4">
      <c r="A200" s="1" t="s">
        <v>3</v>
      </c>
      <c r="B200" s="1">
        <v>2075</v>
      </c>
      <c r="C200" s="1">
        <v>10.41206043</v>
      </c>
      <c r="D200" s="1">
        <v>8.7469784999999994E-2</v>
      </c>
      <c r="E200" s="1">
        <f t="shared" si="17"/>
        <v>10.324590645000001</v>
      </c>
      <c r="F200" s="4">
        <v>654000000</v>
      </c>
      <c r="G200" s="8">
        <v>872000000</v>
      </c>
      <c r="H200" s="1">
        <v>8.5174887389999991</v>
      </c>
      <c r="I200" s="1">
        <v>12.16374347</v>
      </c>
      <c r="J200" s="1">
        <v>10.3406161</v>
      </c>
      <c r="K200" s="1">
        <v>69</v>
      </c>
      <c r="L200" s="1">
        <v>257</v>
      </c>
      <c r="M200" s="1">
        <v>316</v>
      </c>
      <c r="N200" s="6">
        <v>3.0982731605996876</v>
      </c>
      <c r="O200" s="6">
        <f t="shared" si="15"/>
        <v>2.5520246086452989</v>
      </c>
      <c r="P200" s="6">
        <f t="shared" si="16"/>
        <v>3.6445217152506717</v>
      </c>
      <c r="Q200" s="7">
        <v>4.0486839590139816</v>
      </c>
      <c r="R200" s="7">
        <f t="shared" si="13"/>
        <v>3.3348709298541235</v>
      </c>
      <c r="S200" s="7">
        <f t="shared" si="14"/>
        <v>4.7624969916976294</v>
      </c>
      <c r="W200" s="7"/>
    </row>
    <row r="201" spans="1:23" x14ac:dyDescent="0.4">
      <c r="A201" s="1" t="s">
        <v>3</v>
      </c>
      <c r="B201" s="1">
        <v>2076</v>
      </c>
      <c r="C201" s="1">
        <v>10.289716459999999</v>
      </c>
      <c r="D201" s="1">
        <v>8.3651634000000002E-2</v>
      </c>
      <c r="E201" s="1">
        <f t="shared" si="17"/>
        <v>10.206064825999999</v>
      </c>
      <c r="F201" s="4">
        <v>654000000</v>
      </c>
      <c r="G201" s="8">
        <v>872000000</v>
      </c>
      <c r="H201" s="1">
        <v>8.2008098300000007</v>
      </c>
      <c r="I201" s="1">
        <v>12.16914611</v>
      </c>
      <c r="J201" s="1">
        <v>10.18497797</v>
      </c>
      <c r="K201" s="1">
        <v>69</v>
      </c>
      <c r="L201" s="1">
        <v>257</v>
      </c>
      <c r="M201" s="1">
        <v>316</v>
      </c>
      <c r="N201" s="6">
        <v>3.0768023050525795</v>
      </c>
      <c r="O201" s="6">
        <f t="shared" si="15"/>
        <v>2.4774006053389481</v>
      </c>
      <c r="P201" s="6">
        <f t="shared" si="16"/>
        <v>3.6762040047662108</v>
      </c>
      <c r="Q201" s="7">
        <v>4.0141135184269539</v>
      </c>
      <c r="R201" s="7">
        <f t="shared" si="13"/>
        <v>3.2321112227846727</v>
      </c>
      <c r="S201" s="7">
        <f t="shared" si="14"/>
        <v>4.7961158140692346</v>
      </c>
      <c r="W201" s="7"/>
    </row>
    <row r="202" spans="1:23" x14ac:dyDescent="0.4">
      <c r="A202" s="1" t="s">
        <v>3</v>
      </c>
      <c r="B202" s="1">
        <v>2077</v>
      </c>
      <c r="C202" s="1">
        <v>10.25499952</v>
      </c>
      <c r="D202" s="1">
        <v>8.5740021999999999E-2</v>
      </c>
      <c r="E202" s="1">
        <f t="shared" si="17"/>
        <v>10.169259498000001</v>
      </c>
      <c r="F202" s="4">
        <v>654000000</v>
      </c>
      <c r="G202" s="8">
        <v>872000000</v>
      </c>
      <c r="H202" s="1">
        <v>7.9036265229999998</v>
      </c>
      <c r="I202" s="1">
        <v>12.36790665</v>
      </c>
      <c r="J202" s="1">
        <v>10.13576658</v>
      </c>
      <c r="K202" s="1">
        <v>69</v>
      </c>
      <c r="L202" s="1">
        <v>257</v>
      </c>
      <c r="M202" s="1">
        <v>317</v>
      </c>
      <c r="N202" s="6">
        <v>3.0682442294740944</v>
      </c>
      <c r="O202" s="6">
        <f t="shared" si="15"/>
        <v>2.3925429102682778</v>
      </c>
      <c r="P202" s="6">
        <f t="shared" si="16"/>
        <v>3.7439455526152003</v>
      </c>
      <c r="Q202" s="7">
        <v>4.0008574099011485</v>
      </c>
      <c r="R202" s="7">
        <f t="shared" si="13"/>
        <v>3.1197721938497716</v>
      </c>
      <c r="S202" s="7">
        <f t="shared" si="14"/>
        <v>4.8819426310839722</v>
      </c>
      <c r="W202" s="7"/>
    </row>
    <row r="203" spans="1:23" x14ac:dyDescent="0.4">
      <c r="A203" s="1" t="s">
        <v>3</v>
      </c>
      <c r="B203" s="1">
        <v>2078</v>
      </c>
      <c r="C203" s="1">
        <v>10.156930409999999</v>
      </c>
      <c r="D203" s="1">
        <v>7.5175414999999995E-2</v>
      </c>
      <c r="E203" s="1">
        <f t="shared" si="17"/>
        <v>10.081754994999999</v>
      </c>
      <c r="F203" s="4">
        <v>654000000</v>
      </c>
      <c r="G203" s="8">
        <v>872000000</v>
      </c>
      <c r="H203" s="1">
        <v>8.1225410119999992</v>
      </c>
      <c r="I203" s="1">
        <v>12.37740443</v>
      </c>
      <c r="J203" s="1">
        <v>10.249972720000001</v>
      </c>
      <c r="K203" s="1">
        <v>69</v>
      </c>
      <c r="L203" s="1">
        <v>257</v>
      </c>
      <c r="M203" s="1">
        <v>318</v>
      </c>
      <c r="N203" s="6">
        <v>3.0522722785848382</v>
      </c>
      <c r="O203" s="6">
        <f t="shared" si="15"/>
        <v>2.4187583167144306</v>
      </c>
      <c r="P203" s="6">
        <f t="shared" si="16"/>
        <v>3.6857862410508124</v>
      </c>
      <c r="Q203" s="7">
        <v>3.9751741851841844</v>
      </c>
      <c r="R203" s="7">
        <f t="shared" si="13"/>
        <v>3.1501074423349507</v>
      </c>
      <c r="S203" s="7">
        <f t="shared" si="14"/>
        <v>4.8002409288090639</v>
      </c>
      <c r="W203" s="7"/>
    </row>
    <row r="204" spans="1:23" x14ac:dyDescent="0.4">
      <c r="A204" s="1" t="s">
        <v>3</v>
      </c>
      <c r="B204" s="1">
        <v>2079</v>
      </c>
      <c r="C204" s="1">
        <v>10.044272149999999</v>
      </c>
      <c r="D204" s="1">
        <v>6.9881062999999993E-2</v>
      </c>
      <c r="E204" s="1">
        <f t="shared" si="17"/>
        <v>9.974391086999999</v>
      </c>
      <c r="F204" s="4">
        <v>654000000</v>
      </c>
      <c r="G204" s="8">
        <v>872000000</v>
      </c>
      <c r="H204" s="1">
        <v>8.0618582029999999</v>
      </c>
      <c r="I204" s="1">
        <v>12.31005749</v>
      </c>
      <c r="J204" s="1">
        <v>10.185957849999999</v>
      </c>
      <c r="K204" s="1">
        <v>69</v>
      </c>
      <c r="L204" s="1">
        <v>257</v>
      </c>
      <c r="M204" s="1">
        <v>319</v>
      </c>
      <c r="N204" s="6">
        <v>3.0328966969103721</v>
      </c>
      <c r="O204" s="6">
        <f t="shared" si="15"/>
        <v>2.4004402408594778</v>
      </c>
      <c r="P204" s="6">
        <f t="shared" si="16"/>
        <v>3.6653531508769981</v>
      </c>
      <c r="Q204" s="7">
        <v>3.9439570776386597</v>
      </c>
      <c r="R204" s="7">
        <f t="shared" si="13"/>
        <v>3.1215152454848551</v>
      </c>
      <c r="S204" s="7">
        <f t="shared" si="14"/>
        <v>4.7663989070820962</v>
      </c>
      <c r="W204" s="7"/>
    </row>
    <row r="205" spans="1:23" x14ac:dyDescent="0.4">
      <c r="A205" s="1" t="s">
        <v>3</v>
      </c>
      <c r="B205" s="1">
        <v>2080</v>
      </c>
      <c r="C205" s="1">
        <v>9.928887134</v>
      </c>
      <c r="D205" s="1">
        <v>6.1646267999999997E-2</v>
      </c>
      <c r="E205" s="1">
        <f t="shared" si="17"/>
        <v>9.8672408659999995</v>
      </c>
      <c r="F205" s="4">
        <v>654000000</v>
      </c>
      <c r="G205" s="8">
        <v>872000000</v>
      </c>
      <c r="H205" s="1">
        <v>7.9011319980000003</v>
      </c>
      <c r="I205" s="1">
        <v>12.240993169999999</v>
      </c>
      <c r="J205" s="1">
        <v>10.07106258</v>
      </c>
      <c r="K205" s="1">
        <v>69</v>
      </c>
      <c r="L205" s="1">
        <v>257</v>
      </c>
      <c r="M205" s="1">
        <v>319</v>
      </c>
      <c r="N205" s="6">
        <v>3.0132676004126555</v>
      </c>
      <c r="O205" s="6">
        <f t="shared" si="15"/>
        <v>2.3640231472136395</v>
      </c>
      <c r="P205" s="6">
        <f t="shared" si="16"/>
        <v>3.6625120560052764</v>
      </c>
      <c r="Q205" s="7">
        <v>3.912412664141744</v>
      </c>
      <c r="R205" s="7">
        <f t="shared" si="13"/>
        <v>3.0694366800400483</v>
      </c>
      <c r="S205" s="7">
        <f t="shared" si="14"/>
        <v>4.7553886513512849</v>
      </c>
      <c r="W205" s="7"/>
    </row>
    <row r="206" spans="1:23" x14ac:dyDescent="0.4">
      <c r="A206" s="1" t="s">
        <v>3</v>
      </c>
      <c r="B206" s="1">
        <v>2081</v>
      </c>
      <c r="C206" s="1">
        <v>9.8160031889999999</v>
      </c>
      <c r="D206" s="1">
        <v>6.4465752000000001E-2</v>
      </c>
      <c r="E206" s="1">
        <f t="shared" si="17"/>
        <v>9.7515374369999996</v>
      </c>
      <c r="F206" s="4">
        <v>654000000</v>
      </c>
      <c r="G206" s="8">
        <v>872000000</v>
      </c>
      <c r="H206" s="1">
        <v>7.5944035420000002</v>
      </c>
      <c r="I206" s="1">
        <v>12.085633489999999</v>
      </c>
      <c r="J206" s="1">
        <v>9.8400185180000008</v>
      </c>
      <c r="K206" s="1">
        <v>69</v>
      </c>
      <c r="L206" s="1">
        <v>257</v>
      </c>
      <c r="M206" s="1">
        <v>320</v>
      </c>
      <c r="N206" s="6">
        <v>2.9930970518530251</v>
      </c>
      <c r="O206" s="6">
        <f t="shared" si="15"/>
        <v>2.3100349669628915</v>
      </c>
      <c r="P206" s="6">
        <f t="shared" si="16"/>
        <v>3.6761591355264542</v>
      </c>
      <c r="Q206" s="7">
        <v>3.8797174748530945</v>
      </c>
      <c r="R206" s="7">
        <f t="shared" si="13"/>
        <v>2.994317549208461</v>
      </c>
      <c r="S206" s="7">
        <f t="shared" si="14"/>
        <v>4.7651173989206086</v>
      </c>
      <c r="W206" s="7"/>
    </row>
    <row r="207" spans="1:23" x14ac:dyDescent="0.4">
      <c r="A207" s="1" t="s">
        <v>3</v>
      </c>
      <c r="B207" s="1">
        <v>2082</v>
      </c>
      <c r="C207" s="1">
        <v>9.7549644910000008</v>
      </c>
      <c r="D207" s="1">
        <v>6.5044112000000001E-2</v>
      </c>
      <c r="E207" s="1">
        <f t="shared" si="17"/>
        <v>9.6899203790000001</v>
      </c>
      <c r="F207" s="4">
        <v>654000000</v>
      </c>
      <c r="G207" s="8">
        <v>872000000</v>
      </c>
      <c r="H207" s="1">
        <v>7.5947573979999996</v>
      </c>
      <c r="I207" s="1">
        <v>12.15758424</v>
      </c>
      <c r="J207" s="1">
        <v>9.8761708170000002</v>
      </c>
      <c r="K207" s="1">
        <v>69</v>
      </c>
      <c r="L207" s="1">
        <v>257</v>
      </c>
      <c r="M207" s="1">
        <v>321</v>
      </c>
      <c r="N207" s="6">
        <v>2.9805673086779891</v>
      </c>
      <c r="O207" s="6">
        <f t="shared" si="15"/>
        <v>2.2920508400739932</v>
      </c>
      <c r="P207" s="6">
        <f t="shared" si="16"/>
        <v>3.6690837784891603</v>
      </c>
      <c r="Q207" s="7">
        <v>3.8599218020110215</v>
      </c>
      <c r="R207" s="7">
        <f t="shared" si="13"/>
        <v>2.968272846300315</v>
      </c>
      <c r="S207" s="7">
        <f t="shared" si="14"/>
        <v>4.7515707592850553</v>
      </c>
      <c r="W207" s="7"/>
    </row>
    <row r="208" spans="1:23" x14ac:dyDescent="0.4">
      <c r="A208" s="1" t="s">
        <v>3</v>
      </c>
      <c r="B208" s="1">
        <v>2083</v>
      </c>
      <c r="C208" s="1">
        <v>9.6460584849999993</v>
      </c>
      <c r="D208" s="1">
        <v>5.5961404999999999E-2</v>
      </c>
      <c r="E208" s="1">
        <f t="shared" si="17"/>
        <v>9.5900970799999996</v>
      </c>
      <c r="F208" s="4">
        <v>654000000</v>
      </c>
      <c r="G208" s="8">
        <v>872000000</v>
      </c>
      <c r="H208" s="1">
        <v>7.5612535599999999</v>
      </c>
      <c r="I208" s="1">
        <v>12.06506411</v>
      </c>
      <c r="J208" s="1">
        <v>9.8131588349999994</v>
      </c>
      <c r="K208" s="1">
        <v>69</v>
      </c>
      <c r="L208" s="1">
        <v>257</v>
      </c>
      <c r="M208" s="1">
        <v>322</v>
      </c>
      <c r="N208" s="6">
        <v>2.9628529124472966</v>
      </c>
      <c r="O208" s="6">
        <f t="shared" si="15"/>
        <v>2.2829429859114767</v>
      </c>
      <c r="P208" s="6">
        <f t="shared" si="16"/>
        <v>3.642762838983117</v>
      </c>
      <c r="Q208" s="7">
        <v>3.8312976785333901</v>
      </c>
      <c r="R208" s="7">
        <f t="shared" si="13"/>
        <v>2.9520986767183346</v>
      </c>
      <c r="S208" s="7">
        <f t="shared" si="14"/>
        <v>4.710496680348446</v>
      </c>
      <c r="W208" s="7"/>
    </row>
    <row r="209" spans="1:23" x14ac:dyDescent="0.4">
      <c r="A209" s="1" t="s">
        <v>3</v>
      </c>
      <c r="B209" s="1">
        <v>2084</v>
      </c>
      <c r="C209" s="1">
        <v>9.5158670900000004</v>
      </c>
      <c r="D209" s="1">
        <v>5.9115541000000001E-2</v>
      </c>
      <c r="E209" s="1">
        <f t="shared" si="17"/>
        <v>9.4567515489999998</v>
      </c>
      <c r="F209" s="4">
        <v>654000000</v>
      </c>
      <c r="G209" s="8">
        <v>872000000</v>
      </c>
      <c r="H209" s="1">
        <v>7.3383972919999998</v>
      </c>
      <c r="I209" s="1">
        <v>11.784012110000001</v>
      </c>
      <c r="J209" s="1">
        <v>9.5612046999999993</v>
      </c>
      <c r="K209" s="1">
        <v>69</v>
      </c>
      <c r="L209" s="1">
        <v>257</v>
      </c>
      <c r="M209" s="1">
        <v>322</v>
      </c>
      <c r="N209" s="6">
        <v>2.9400928720503052</v>
      </c>
      <c r="O209" s="6">
        <f t="shared" si="15"/>
        <v>2.2565743802642841</v>
      </c>
      <c r="P209" s="6">
        <f t="shared" si="16"/>
        <v>3.6236113644513308</v>
      </c>
      <c r="Q209" s="7">
        <v>3.7942652958832324</v>
      </c>
      <c r="R209" s="7">
        <f t="shared" si="13"/>
        <v>2.9121671427491864</v>
      </c>
      <c r="S209" s="7">
        <f t="shared" si="14"/>
        <v>4.6763634498109585</v>
      </c>
      <c r="W209" s="7"/>
    </row>
    <row r="210" spans="1:23" x14ac:dyDescent="0.4">
      <c r="A210" s="1" t="s">
        <v>3</v>
      </c>
      <c r="B210" s="1">
        <v>2085</v>
      </c>
      <c r="C210" s="1">
        <v>9.3975439470000008</v>
      </c>
      <c r="D210" s="1">
        <v>4.9703447999999997E-2</v>
      </c>
      <c r="E210" s="1">
        <f t="shared" si="17"/>
        <v>9.3478404990000001</v>
      </c>
      <c r="F210" s="4">
        <v>654000000</v>
      </c>
      <c r="G210" s="8">
        <v>872000000</v>
      </c>
      <c r="H210" s="1">
        <v>7.2598252649999999</v>
      </c>
      <c r="I210" s="1">
        <v>11.914627469999999</v>
      </c>
      <c r="J210" s="1">
        <v>9.5872263669999995</v>
      </c>
      <c r="K210" s="1">
        <v>69</v>
      </c>
      <c r="L210" s="1">
        <v>257</v>
      </c>
      <c r="M210" s="1">
        <v>323</v>
      </c>
      <c r="N210" s="6">
        <v>2.9213198041353996</v>
      </c>
      <c r="O210" s="6">
        <f t="shared" si="15"/>
        <v>2.2121383713445626</v>
      </c>
      <c r="P210" s="6">
        <f t="shared" si="16"/>
        <v>3.6305012372309466</v>
      </c>
      <c r="Q210" s="7">
        <v>3.7637739695984154</v>
      </c>
      <c r="R210" s="7">
        <f t="shared" si="13"/>
        <v>2.8500778338031618</v>
      </c>
      <c r="S210" s="7">
        <f t="shared" si="14"/>
        <v>4.6774701057862513</v>
      </c>
      <c r="W210" s="7"/>
    </row>
    <row r="211" spans="1:23" x14ac:dyDescent="0.4">
      <c r="A211" s="1" t="s">
        <v>3</v>
      </c>
      <c r="B211" s="1">
        <v>2086</v>
      </c>
      <c r="C211" s="1">
        <v>9.3056299819999992</v>
      </c>
      <c r="D211" s="1">
        <v>6.3177513000000005E-2</v>
      </c>
      <c r="E211" s="1">
        <f t="shared" si="17"/>
        <v>9.2424524689999998</v>
      </c>
      <c r="F211" s="4">
        <v>654000000</v>
      </c>
      <c r="G211" s="8">
        <v>872000000</v>
      </c>
      <c r="H211" s="1">
        <v>7.1427819420000001</v>
      </c>
      <c r="I211" s="1">
        <v>11.83216344</v>
      </c>
      <c r="J211" s="1">
        <v>9.4874726890000005</v>
      </c>
      <c r="K211" s="1">
        <v>69</v>
      </c>
      <c r="L211" s="1">
        <v>257</v>
      </c>
      <c r="M211" s="1">
        <v>324</v>
      </c>
      <c r="N211" s="6">
        <v>2.9029103334321769</v>
      </c>
      <c r="O211" s="6">
        <f t="shared" si="15"/>
        <v>2.1854983079872299</v>
      </c>
      <c r="P211" s="6">
        <f t="shared" si="16"/>
        <v>3.6203223601010159</v>
      </c>
      <c r="Q211" s="7">
        <v>3.7339440763469156</v>
      </c>
      <c r="R211" s="7">
        <f t="shared" si="13"/>
        <v>2.8111541603583547</v>
      </c>
      <c r="S211" s="7">
        <f t="shared" si="14"/>
        <v>4.6567339939097385</v>
      </c>
      <c r="W211" s="7"/>
    </row>
    <row r="212" spans="1:23" x14ac:dyDescent="0.4">
      <c r="A212" s="1" t="s">
        <v>3</v>
      </c>
      <c r="B212" s="1">
        <v>2087</v>
      </c>
      <c r="C212" s="1">
        <v>9.1786559759999999</v>
      </c>
      <c r="D212" s="1">
        <v>5.7188258999999998E-2</v>
      </c>
      <c r="E212" s="1">
        <f t="shared" si="17"/>
        <v>9.1214677169999998</v>
      </c>
      <c r="F212" s="4">
        <v>654000000</v>
      </c>
      <c r="G212" s="8">
        <v>872000000</v>
      </c>
      <c r="H212" s="1">
        <v>6.9000409559999998</v>
      </c>
      <c r="I212" s="1">
        <v>11.66153411</v>
      </c>
      <c r="J212" s="1">
        <v>9.2807875319999997</v>
      </c>
      <c r="K212" s="1">
        <v>69</v>
      </c>
      <c r="L212" s="1">
        <v>257</v>
      </c>
      <c r="M212" s="1">
        <v>325</v>
      </c>
      <c r="N212" s="6">
        <v>2.8823400005357116</v>
      </c>
      <c r="O212" s="6">
        <f t="shared" si="15"/>
        <v>2.1429500442973262</v>
      </c>
      <c r="P212" s="6">
        <f t="shared" si="16"/>
        <v>3.6217299573952384</v>
      </c>
      <c r="Q212" s="7">
        <v>3.7004510469413971</v>
      </c>
      <c r="R212" s="7">
        <f t="shared" si="13"/>
        <v>2.7511958108652368</v>
      </c>
      <c r="S212" s="7">
        <f t="shared" si="14"/>
        <v>4.649706283815001</v>
      </c>
      <c r="W212" s="7"/>
    </row>
    <row r="213" spans="1:23" x14ac:dyDescent="0.4">
      <c r="A213" s="1" t="s">
        <v>3</v>
      </c>
      <c r="B213" s="1">
        <v>2088</v>
      </c>
      <c r="C213" s="1">
        <v>9.0660718060000001</v>
      </c>
      <c r="D213" s="1">
        <v>4.1410917999999998E-2</v>
      </c>
      <c r="E213" s="1">
        <f t="shared" si="17"/>
        <v>9.0246608879999997</v>
      </c>
      <c r="F213" s="4">
        <v>654000000</v>
      </c>
      <c r="G213" s="8">
        <v>872000000</v>
      </c>
      <c r="H213" s="1">
        <v>6.7791194250000002</v>
      </c>
      <c r="I213" s="1">
        <v>11.73362764</v>
      </c>
      <c r="J213" s="1">
        <v>9.2563735309999995</v>
      </c>
      <c r="K213" s="1">
        <v>69</v>
      </c>
      <c r="L213" s="1">
        <v>257</v>
      </c>
      <c r="M213" s="1">
        <v>325</v>
      </c>
      <c r="N213" s="6">
        <v>2.8652242548433287</v>
      </c>
      <c r="O213" s="6">
        <f t="shared" si="15"/>
        <v>2.0984133081858407</v>
      </c>
      <c r="P213" s="6">
        <f t="shared" si="16"/>
        <v>3.6320352024294396</v>
      </c>
      <c r="Q213" s="7">
        <v>3.6727763635898807</v>
      </c>
      <c r="R213" s="7">
        <f t="shared" si="13"/>
        <v>2.6898427885076046</v>
      </c>
      <c r="S213" s="7">
        <f t="shared" si="14"/>
        <v>4.6557099398625077</v>
      </c>
      <c r="W213" s="7"/>
    </row>
    <row r="214" spans="1:23" x14ac:dyDescent="0.4">
      <c r="A214" s="1" t="s">
        <v>3</v>
      </c>
      <c r="B214" s="1">
        <v>2089</v>
      </c>
      <c r="C214" s="1">
        <v>8.9044683009999996</v>
      </c>
      <c r="D214" s="1">
        <v>5.1772512999999999E-2</v>
      </c>
      <c r="E214" s="1">
        <f t="shared" si="17"/>
        <v>8.8526957880000001</v>
      </c>
      <c r="F214" s="4">
        <v>654000000</v>
      </c>
      <c r="G214" s="8">
        <v>872000000</v>
      </c>
      <c r="H214" s="1">
        <v>6.6696397029999996</v>
      </c>
      <c r="I214" s="1">
        <v>11.55968427</v>
      </c>
      <c r="J214" s="1">
        <v>9.1146619869999999</v>
      </c>
      <c r="K214" s="1">
        <v>69</v>
      </c>
      <c r="L214" s="1">
        <v>257</v>
      </c>
      <c r="M214" s="1">
        <v>326</v>
      </c>
      <c r="N214" s="6">
        <v>2.8384220995513241</v>
      </c>
      <c r="O214" s="6">
        <f t="shared" si="15"/>
        <v>2.0770109474208995</v>
      </c>
      <c r="P214" s="6">
        <f t="shared" si="16"/>
        <v>3.5998332513703355</v>
      </c>
      <c r="Q214" s="7">
        <v>3.6284181911290165</v>
      </c>
      <c r="R214" s="7">
        <f t="shared" si="13"/>
        <v>2.6550893561557949</v>
      </c>
      <c r="S214" s="7">
        <f t="shared" si="14"/>
        <v>4.6017470257041522</v>
      </c>
      <c r="W214" s="7"/>
    </row>
    <row r="215" spans="1:23" x14ac:dyDescent="0.4">
      <c r="A215" s="1" t="s">
        <v>3</v>
      </c>
      <c r="B215" s="1">
        <v>2090</v>
      </c>
      <c r="C215" s="1">
        <v>8.7751437130000003</v>
      </c>
      <c r="D215" s="1">
        <v>5.2465151000000002E-2</v>
      </c>
      <c r="E215" s="1">
        <f t="shared" si="17"/>
        <v>8.7226785620000005</v>
      </c>
      <c r="F215" s="4">
        <v>654000000</v>
      </c>
      <c r="G215" s="8">
        <v>872000000</v>
      </c>
      <c r="H215" s="1">
        <v>6.1278250539999997</v>
      </c>
      <c r="I215" s="1">
        <v>11.67471827</v>
      </c>
      <c r="J215" s="1">
        <v>8.9012716600000008</v>
      </c>
      <c r="K215" s="1">
        <v>69</v>
      </c>
      <c r="L215" s="1">
        <v>257</v>
      </c>
      <c r="M215" s="1">
        <v>327</v>
      </c>
      <c r="N215" s="6">
        <v>2.8167707500750399</v>
      </c>
      <c r="O215" s="6">
        <f t="shared" si="15"/>
        <v>1.9391249961788268</v>
      </c>
      <c r="P215" s="6">
        <f t="shared" si="16"/>
        <v>3.6944165052370357</v>
      </c>
      <c r="Q215" s="7">
        <v>3.5930309371937299</v>
      </c>
      <c r="R215" s="7">
        <f t="shared" si="13"/>
        <v>2.4735190473596709</v>
      </c>
      <c r="S215" s="7">
        <f t="shared" si="14"/>
        <v>4.7125428286424027</v>
      </c>
      <c r="W215" s="7"/>
    </row>
    <row r="216" spans="1:23" x14ac:dyDescent="0.4">
      <c r="A216" s="1" t="s">
        <v>3</v>
      </c>
      <c r="B216" s="1">
        <v>2091</v>
      </c>
      <c r="C216" s="1">
        <v>8.5971432110000006</v>
      </c>
      <c r="D216" s="1">
        <v>4.2561722000000003E-2</v>
      </c>
      <c r="E216" s="1">
        <f t="shared" si="17"/>
        <v>8.5545814890000003</v>
      </c>
      <c r="F216" s="4">
        <v>654000000</v>
      </c>
      <c r="G216" s="8">
        <v>872000000</v>
      </c>
      <c r="H216" s="1">
        <v>6.2274695170000003</v>
      </c>
      <c r="I216" s="1">
        <v>11.4241013</v>
      </c>
      <c r="J216" s="1">
        <v>8.8257854069999997</v>
      </c>
      <c r="K216" s="1">
        <v>69</v>
      </c>
      <c r="L216" s="1">
        <v>257</v>
      </c>
      <c r="M216" s="1">
        <v>328</v>
      </c>
      <c r="N216" s="6">
        <v>2.7900658879007247</v>
      </c>
      <c r="O216" s="6">
        <f t="shared" si="15"/>
        <v>1.9686690153991984</v>
      </c>
      <c r="P216" s="6">
        <f t="shared" si="16"/>
        <v>3.6114627613506314</v>
      </c>
      <c r="Q216" s="7">
        <v>3.5489964235601206</v>
      </c>
      <c r="R216" s="7">
        <f t="shared" ref="R216:R225" si="18">Q216*H216/J216</f>
        <v>2.5041700001150589</v>
      </c>
      <c r="S216" s="7">
        <f t="shared" ref="S216:S225" si="19">Q216*I216/J216</f>
        <v>4.5938228482115333</v>
      </c>
      <c r="W216" s="7"/>
    </row>
    <row r="217" spans="1:23" x14ac:dyDescent="0.4">
      <c r="A217" s="1" t="s">
        <v>3</v>
      </c>
      <c r="B217" s="1">
        <v>2092</v>
      </c>
      <c r="C217" s="1">
        <v>8.4912211339999999</v>
      </c>
      <c r="D217" s="1">
        <v>3.6013889E-2</v>
      </c>
      <c r="E217" s="1">
        <f t="shared" si="17"/>
        <v>8.4552072450000004</v>
      </c>
      <c r="F217" s="4">
        <v>654000000</v>
      </c>
      <c r="G217" s="8">
        <v>872000000</v>
      </c>
      <c r="H217" s="1">
        <v>6.1503072510000001</v>
      </c>
      <c r="I217" s="1">
        <v>11.47170012</v>
      </c>
      <c r="J217" s="1">
        <v>8.8110036859999994</v>
      </c>
      <c r="K217" s="1">
        <v>69</v>
      </c>
      <c r="L217" s="1">
        <v>257</v>
      </c>
      <c r="M217" s="1">
        <v>328</v>
      </c>
      <c r="N217" s="6">
        <v>2.772777337747069</v>
      </c>
      <c r="O217" s="6">
        <f t="shared" si="15"/>
        <v>1.9354699161970452</v>
      </c>
      <c r="P217" s="6">
        <f t="shared" si="16"/>
        <v>3.6100847589823983</v>
      </c>
      <c r="Q217" s="7">
        <v>3.5209626095172082</v>
      </c>
      <c r="R217" s="7">
        <f t="shared" si="18"/>
        <v>2.4577224842411183</v>
      </c>
      <c r="S217" s="7">
        <f t="shared" si="19"/>
        <v>4.5842027343936884</v>
      </c>
      <c r="W217" s="7"/>
    </row>
    <row r="218" spans="1:23" x14ac:dyDescent="0.4">
      <c r="A218" s="1" t="s">
        <v>3</v>
      </c>
      <c r="B218" s="1">
        <v>2093</v>
      </c>
      <c r="C218" s="1">
        <v>8.3815179620000002</v>
      </c>
      <c r="D218" s="1">
        <v>2.6654578000000002E-2</v>
      </c>
      <c r="E218" s="1">
        <f t="shared" si="17"/>
        <v>8.3548633839999997</v>
      </c>
      <c r="F218" s="4">
        <v>654000000</v>
      </c>
      <c r="G218" s="8">
        <v>872000000</v>
      </c>
      <c r="H218" s="1">
        <v>5.9237704310000003</v>
      </c>
      <c r="I218" s="1">
        <v>11.41622662</v>
      </c>
      <c r="J218" s="1">
        <v>8.6699985240000004</v>
      </c>
      <c r="K218" s="1">
        <v>69</v>
      </c>
      <c r="L218" s="1">
        <v>257</v>
      </c>
      <c r="M218" s="1">
        <v>329</v>
      </c>
      <c r="N218" s="6">
        <v>2.7565751436885471</v>
      </c>
      <c r="O218" s="6">
        <f t="shared" si="15"/>
        <v>1.883428040017483</v>
      </c>
      <c r="P218" s="6">
        <f t="shared" si="16"/>
        <v>3.6297222483134433</v>
      </c>
      <c r="Q218" s="7">
        <v>3.4943286557278044</v>
      </c>
      <c r="R218" s="7">
        <f t="shared" si="18"/>
        <v>2.38749761141209</v>
      </c>
      <c r="S218" s="7">
        <f t="shared" si="19"/>
        <v>4.6011597012526293</v>
      </c>
      <c r="W218" s="7"/>
    </row>
    <row r="219" spans="1:23" x14ac:dyDescent="0.4">
      <c r="A219" s="1" t="s">
        <v>3</v>
      </c>
      <c r="B219" s="1">
        <v>2094</v>
      </c>
      <c r="C219" s="1">
        <v>8.2327659119999996</v>
      </c>
      <c r="D219" s="1">
        <v>2.8398748000000001E-2</v>
      </c>
      <c r="E219" s="1">
        <f t="shared" si="17"/>
        <v>8.2043671639999989</v>
      </c>
      <c r="F219" s="4">
        <v>654000000</v>
      </c>
      <c r="G219" s="8">
        <v>872000000</v>
      </c>
      <c r="H219" s="1">
        <v>5.7125654309999998</v>
      </c>
      <c r="I219" s="1">
        <v>11.22409816</v>
      </c>
      <c r="J219" s="1">
        <v>8.4683317939999991</v>
      </c>
      <c r="K219" s="1">
        <v>69</v>
      </c>
      <c r="L219" s="1">
        <v>257</v>
      </c>
      <c r="M219" s="1">
        <v>330</v>
      </c>
      <c r="N219" s="6">
        <v>2.7336186491301464</v>
      </c>
      <c r="O219" s="6">
        <f t="shared" si="15"/>
        <v>1.8440438774047632</v>
      </c>
      <c r="P219" s="6">
        <f t="shared" si="16"/>
        <v>3.6231934218239448</v>
      </c>
      <c r="Q219" s="7">
        <v>3.4561744350230348</v>
      </c>
      <c r="R219" s="7">
        <f t="shared" si="18"/>
        <v>2.3314654032577393</v>
      </c>
      <c r="S219" s="7">
        <f t="shared" si="19"/>
        <v>4.5808834680127184</v>
      </c>
      <c r="W219" s="7"/>
    </row>
    <row r="220" spans="1:23" x14ac:dyDescent="0.4">
      <c r="A220" s="1" t="s">
        <v>3</v>
      </c>
      <c r="B220" s="1">
        <v>2095</v>
      </c>
      <c r="C220" s="1">
        <v>8.016376309</v>
      </c>
      <c r="D220" s="1">
        <v>2.6600431000000001E-2</v>
      </c>
      <c r="E220" s="1">
        <f t="shared" si="17"/>
        <v>7.9897758779999997</v>
      </c>
      <c r="F220" s="4">
        <v>654000000</v>
      </c>
      <c r="G220" s="8">
        <v>872000000</v>
      </c>
      <c r="H220" s="1">
        <v>4.9871741329999999</v>
      </c>
      <c r="I220" s="1">
        <v>10.85528847</v>
      </c>
      <c r="J220" s="1">
        <v>7.921231304</v>
      </c>
      <c r="K220" s="1">
        <v>69</v>
      </c>
      <c r="L220" s="1">
        <v>257</v>
      </c>
      <c r="M220" s="1">
        <v>331</v>
      </c>
      <c r="N220" s="6">
        <v>2.7018422795502248</v>
      </c>
      <c r="O220" s="6">
        <f t="shared" si="15"/>
        <v>1.7010686105346224</v>
      </c>
      <c r="P220" s="6">
        <f t="shared" si="16"/>
        <v>3.7026159468603836</v>
      </c>
      <c r="Q220" s="7">
        <v>3.4030467902818922</v>
      </c>
      <c r="R220" s="7">
        <f t="shared" si="18"/>
        <v>2.1425440407619898</v>
      </c>
      <c r="S220" s="7">
        <f t="shared" si="19"/>
        <v>4.6635495376537399</v>
      </c>
      <c r="W220" s="7"/>
    </row>
    <row r="221" spans="1:23" x14ac:dyDescent="0.4">
      <c r="A221" s="1" t="s">
        <v>3</v>
      </c>
      <c r="B221" s="1">
        <v>2096</v>
      </c>
      <c r="C221" s="1">
        <v>7.8790476370000002</v>
      </c>
      <c r="D221" s="1">
        <v>2.3669195000000001E-2</v>
      </c>
      <c r="E221" s="1">
        <f t="shared" si="17"/>
        <v>7.8553784420000001</v>
      </c>
      <c r="F221" s="4">
        <v>654000000</v>
      </c>
      <c r="G221" s="8">
        <v>872000000</v>
      </c>
      <c r="H221" s="1">
        <v>4.9213517180000004</v>
      </c>
      <c r="I221" s="1">
        <v>10.808131120000001</v>
      </c>
      <c r="J221" s="1">
        <v>7.8647414199999996</v>
      </c>
      <c r="K221" s="1">
        <v>69</v>
      </c>
      <c r="L221" s="1">
        <v>257</v>
      </c>
      <c r="M221" s="1">
        <v>331</v>
      </c>
      <c r="N221" s="6">
        <v>2.6803933011352816</v>
      </c>
      <c r="O221" s="6">
        <f t="shared" si="15"/>
        <v>1.6772526231965819</v>
      </c>
      <c r="P221" s="6">
        <f t="shared" si="16"/>
        <v>3.6835339783923593</v>
      </c>
      <c r="Q221" s="7">
        <v>3.3677097499886863</v>
      </c>
      <c r="R221" s="7">
        <f t="shared" si="18"/>
        <v>2.1073399974327667</v>
      </c>
      <c r="S221" s="7">
        <f t="shared" si="19"/>
        <v>4.6280795016881999</v>
      </c>
      <c r="W221" s="7"/>
    </row>
    <row r="222" spans="1:23" x14ac:dyDescent="0.4">
      <c r="A222" s="1" t="s">
        <v>3</v>
      </c>
      <c r="B222" s="1">
        <v>2097</v>
      </c>
      <c r="C222" s="1">
        <v>7.7115848649999998</v>
      </c>
      <c r="D222" s="1">
        <v>2.3964183E-2</v>
      </c>
      <c r="E222" s="1">
        <f t="shared" si="17"/>
        <v>7.6876206819999995</v>
      </c>
      <c r="F222" s="4">
        <v>654000000</v>
      </c>
      <c r="G222" s="8">
        <v>872000000</v>
      </c>
      <c r="H222" s="1">
        <v>4.8517884499999999</v>
      </c>
      <c r="I222" s="1">
        <v>10.784263960000001</v>
      </c>
      <c r="J222" s="1">
        <v>7.8180262059999999</v>
      </c>
      <c r="K222" s="1">
        <v>69</v>
      </c>
      <c r="L222" s="1">
        <v>257</v>
      </c>
      <c r="M222" s="1">
        <v>332</v>
      </c>
      <c r="N222" s="6">
        <v>2.6556605199594308</v>
      </c>
      <c r="O222" s="6">
        <f t="shared" si="15"/>
        <v>1.6480762149366683</v>
      </c>
      <c r="P222" s="6">
        <f t="shared" si="16"/>
        <v>3.6632448243028248</v>
      </c>
      <c r="Q222" s="7">
        <v>3.3263216901205692</v>
      </c>
      <c r="R222" s="7">
        <f t="shared" si="18"/>
        <v>2.0642817933669457</v>
      </c>
      <c r="S222" s="7">
        <f t="shared" si="19"/>
        <v>4.5883615860232574</v>
      </c>
      <c r="W222" s="7"/>
    </row>
    <row r="223" spans="1:23" x14ac:dyDescent="0.4">
      <c r="A223" s="1" t="s">
        <v>3</v>
      </c>
      <c r="B223" s="1">
        <v>2098</v>
      </c>
      <c r="C223" s="1">
        <v>7.6232812450000003</v>
      </c>
      <c r="D223" s="1">
        <v>2.4869866000000001E-2</v>
      </c>
      <c r="E223" s="1">
        <f t="shared" si="17"/>
        <v>7.5984113789999999</v>
      </c>
      <c r="F223" s="4">
        <v>654000000</v>
      </c>
      <c r="G223" s="8">
        <v>872000000</v>
      </c>
      <c r="H223" s="1">
        <v>4.806531101</v>
      </c>
      <c r="I223" s="1">
        <v>10.90042276</v>
      </c>
      <c r="J223" s="1">
        <v>7.8534769290000002</v>
      </c>
      <c r="K223" s="1">
        <v>69</v>
      </c>
      <c r="L223" s="1">
        <v>257</v>
      </c>
      <c r="M223" s="1">
        <v>333</v>
      </c>
      <c r="N223" s="6">
        <v>2.6410787672748959</v>
      </c>
      <c r="O223" s="6">
        <f t="shared" si="15"/>
        <v>1.6164085474322436</v>
      </c>
      <c r="P223" s="6">
        <f t="shared" si="16"/>
        <v>3.6657489881264302</v>
      </c>
      <c r="Q223" s="7">
        <v>3.3024065879533966</v>
      </c>
      <c r="R223" s="7">
        <f t="shared" si="18"/>
        <v>2.0211582865331534</v>
      </c>
      <c r="S223" s="7">
        <f t="shared" si="19"/>
        <v>4.5836548906351471</v>
      </c>
      <c r="W223" s="7"/>
    </row>
    <row r="224" spans="1:23" x14ac:dyDescent="0.4">
      <c r="A224" s="1" t="s">
        <v>3</v>
      </c>
      <c r="B224" s="1">
        <v>2099</v>
      </c>
      <c r="C224" s="1">
        <v>7.4282099690000001</v>
      </c>
      <c r="D224" s="1">
        <v>3.4707439999999999E-2</v>
      </c>
      <c r="E224" s="1">
        <f t="shared" si="17"/>
        <v>7.393502529</v>
      </c>
      <c r="F224" s="4">
        <v>654000000</v>
      </c>
      <c r="G224" s="8">
        <v>872000000</v>
      </c>
      <c r="H224" s="1">
        <v>4.7213551899999997</v>
      </c>
      <c r="I224" s="1">
        <v>10.49191038</v>
      </c>
      <c r="J224" s="1">
        <v>7.6066327859999996</v>
      </c>
      <c r="K224" s="1">
        <v>69</v>
      </c>
      <c r="L224" s="1">
        <v>257</v>
      </c>
      <c r="M224" s="1">
        <v>334</v>
      </c>
      <c r="N224" s="6">
        <v>2.6121931367966704</v>
      </c>
      <c r="O224" s="6">
        <f t="shared" si="15"/>
        <v>1.6213601958538582</v>
      </c>
      <c r="P224" s="6">
        <f t="shared" si="16"/>
        <v>3.6030260770526628</v>
      </c>
      <c r="Q224" s="7">
        <v>3.2536187188207313</v>
      </c>
      <c r="R224" s="7">
        <f t="shared" si="18"/>
        <v>2.0194861585349848</v>
      </c>
      <c r="S224" s="7">
        <f t="shared" si="19"/>
        <v>4.4877512782510083</v>
      </c>
      <c r="W224" s="7"/>
    </row>
    <row r="225" spans="1:23" x14ac:dyDescent="0.4">
      <c r="A225" s="1" t="s">
        <v>3</v>
      </c>
      <c r="B225" s="1">
        <v>2100</v>
      </c>
      <c r="C225" s="1">
        <v>7.2023755469999999</v>
      </c>
      <c r="D225" s="1">
        <v>3.0544049E-2</v>
      </c>
      <c r="E225" s="1">
        <f t="shared" si="17"/>
        <v>7.1718314979999995</v>
      </c>
      <c r="F225" s="4">
        <v>654000000</v>
      </c>
      <c r="G225" s="8">
        <v>872000000</v>
      </c>
      <c r="H225" s="1">
        <v>4.2311121710000004</v>
      </c>
      <c r="I225" s="1">
        <v>10.52954742</v>
      </c>
      <c r="J225" s="1">
        <v>7.380329798</v>
      </c>
      <c r="K225" s="1">
        <v>69</v>
      </c>
      <c r="L225" s="1">
        <v>257</v>
      </c>
      <c r="M225" s="1">
        <v>334</v>
      </c>
      <c r="N225" s="6">
        <v>2.5808842100458116</v>
      </c>
      <c r="O225" s="6">
        <f t="shared" si="15"/>
        <v>1.4796101111939166</v>
      </c>
      <c r="P225" s="6">
        <f t="shared" si="16"/>
        <v>3.6821583071492188</v>
      </c>
      <c r="Q225" s="7">
        <v>3.2007593677856598</v>
      </c>
      <c r="R225" s="7">
        <f t="shared" si="18"/>
        <v>1.8349819436456805</v>
      </c>
      <c r="S225" s="7">
        <f t="shared" si="19"/>
        <v>4.5665367897572002</v>
      </c>
      <c r="W225" s="7"/>
    </row>
    <row r="226" spans="1:23" x14ac:dyDescent="0.4">
      <c r="Q226" s="5"/>
      <c r="R226" s="5"/>
      <c r="S226" s="5"/>
      <c r="W226" s="5"/>
    </row>
    <row r="227" spans="1:23" x14ac:dyDescent="0.4">
      <c r="Q227" s="5"/>
      <c r="R227" s="5"/>
      <c r="S227" s="5"/>
      <c r="W227" s="5"/>
    </row>
    <row r="228" spans="1:23" x14ac:dyDescent="0.4">
      <c r="Q228" s="5"/>
      <c r="R228" s="5"/>
      <c r="S228" s="5"/>
      <c r="W228" s="5"/>
    </row>
    <row r="229" spans="1:23" x14ac:dyDescent="0.4">
      <c r="Q229" s="5"/>
      <c r="R229" s="5"/>
      <c r="S229" s="5"/>
      <c r="W229" s="5"/>
    </row>
    <row r="230" spans="1:23" x14ac:dyDescent="0.4">
      <c r="Q230" s="5"/>
      <c r="R230" s="5"/>
      <c r="S230" s="5"/>
      <c r="W230" s="5"/>
    </row>
    <row r="231" spans="1:23" x14ac:dyDescent="0.4">
      <c r="Q231" s="5"/>
      <c r="R231" s="5"/>
      <c r="S231" s="5"/>
      <c r="W231" s="5"/>
    </row>
    <row r="232" spans="1:23" x14ac:dyDescent="0.4">
      <c r="Q232" s="5"/>
      <c r="R232" s="5"/>
      <c r="S232" s="5"/>
      <c r="W232" s="5"/>
    </row>
    <row r="233" spans="1:23" x14ac:dyDescent="0.4">
      <c r="Q233" s="5"/>
      <c r="R233" s="5"/>
      <c r="S233" s="5"/>
      <c r="W233" s="5"/>
    </row>
    <row r="234" spans="1:23" x14ac:dyDescent="0.4">
      <c r="Q234" s="5"/>
      <c r="R234" s="5"/>
      <c r="S234" s="5"/>
      <c r="W234" s="5"/>
    </row>
    <row r="235" spans="1:23" x14ac:dyDescent="0.4">
      <c r="Q235" s="5"/>
      <c r="R235" s="5"/>
      <c r="S235" s="5"/>
      <c r="W235" s="5"/>
    </row>
    <row r="236" spans="1:23" x14ac:dyDescent="0.4">
      <c r="Q236" s="5"/>
      <c r="R236" s="5"/>
      <c r="S236" s="5"/>
      <c r="W236" s="5"/>
    </row>
    <row r="237" spans="1:23" x14ac:dyDescent="0.4">
      <c r="Q237" s="5"/>
      <c r="R237" s="5"/>
      <c r="S237" s="5"/>
      <c r="W237" s="5"/>
    </row>
    <row r="238" spans="1:23" x14ac:dyDescent="0.4">
      <c r="Q238" s="5"/>
      <c r="R238" s="5"/>
      <c r="S238" s="5"/>
      <c r="W238" s="5"/>
    </row>
    <row r="239" spans="1:23" x14ac:dyDescent="0.4">
      <c r="Q239" s="5"/>
      <c r="R239" s="5"/>
      <c r="S239" s="5"/>
      <c r="W239" s="5"/>
    </row>
    <row r="240" spans="1:23" x14ac:dyDescent="0.4">
      <c r="Q240" s="5"/>
      <c r="R240" s="5"/>
      <c r="S240" s="5"/>
      <c r="W240" s="5"/>
    </row>
    <row r="241" spans="17:23" x14ac:dyDescent="0.4">
      <c r="Q241" s="5"/>
      <c r="R241" s="5"/>
      <c r="S241" s="5"/>
      <c r="W241" s="5"/>
    </row>
    <row r="242" spans="17:23" x14ac:dyDescent="0.4">
      <c r="Q242" s="5"/>
      <c r="R242" s="5"/>
      <c r="S242" s="5"/>
      <c r="W242" s="5"/>
    </row>
    <row r="243" spans="17:23" x14ac:dyDescent="0.4">
      <c r="Q243" s="5"/>
      <c r="R243" s="5"/>
      <c r="S243" s="5"/>
      <c r="W243" s="5"/>
    </row>
    <row r="244" spans="17:23" x14ac:dyDescent="0.4">
      <c r="Q244" s="5"/>
      <c r="R244" s="5"/>
      <c r="S244" s="5"/>
      <c r="W244" s="5"/>
    </row>
    <row r="245" spans="17:23" x14ac:dyDescent="0.4">
      <c r="Q245" s="5"/>
      <c r="R245" s="5"/>
      <c r="S245" s="5"/>
      <c r="W245" s="5"/>
    </row>
    <row r="246" spans="17:23" x14ac:dyDescent="0.4">
      <c r="Q246" s="5"/>
      <c r="R246" s="5"/>
      <c r="S246" s="5"/>
      <c r="W246" s="5"/>
    </row>
    <row r="247" spans="17:23" x14ac:dyDescent="0.4">
      <c r="Q247" s="5"/>
      <c r="R247" s="5"/>
      <c r="S247" s="5"/>
      <c r="W247" s="5"/>
    </row>
    <row r="248" spans="17:23" x14ac:dyDescent="0.4">
      <c r="Q248" s="5"/>
      <c r="R248" s="5"/>
      <c r="S248" s="5"/>
      <c r="W248" s="5"/>
    </row>
    <row r="249" spans="17:23" x14ac:dyDescent="0.4">
      <c r="Q249" s="5"/>
      <c r="R249" s="5"/>
      <c r="S249" s="5"/>
      <c r="W249" s="5"/>
    </row>
    <row r="250" spans="17:23" x14ac:dyDescent="0.4">
      <c r="Q250" s="5"/>
      <c r="R250" s="5"/>
      <c r="S250" s="5"/>
      <c r="W250" s="5"/>
    </row>
    <row r="251" spans="17:23" x14ac:dyDescent="0.4">
      <c r="Q251" s="5"/>
      <c r="R251" s="5"/>
      <c r="S251" s="5"/>
      <c r="W251" s="5"/>
    </row>
    <row r="252" spans="17:23" x14ac:dyDescent="0.4">
      <c r="Q252" s="5"/>
      <c r="R252" s="5"/>
      <c r="S252" s="5"/>
      <c r="W252" s="5"/>
    </row>
    <row r="253" spans="17:23" x14ac:dyDescent="0.4">
      <c r="Q253" s="5"/>
      <c r="R253" s="5"/>
      <c r="S253" s="5"/>
      <c r="W253" s="5"/>
    </row>
    <row r="254" spans="17:23" x14ac:dyDescent="0.4">
      <c r="Q254" s="5"/>
      <c r="R254" s="5"/>
      <c r="S254" s="5"/>
      <c r="W254" s="5"/>
    </row>
    <row r="255" spans="17:23" x14ac:dyDescent="0.4">
      <c r="Q255" s="5"/>
      <c r="R255" s="5"/>
      <c r="S255" s="5"/>
      <c r="W255" s="5"/>
    </row>
    <row r="256" spans="17:23" x14ac:dyDescent="0.4">
      <c r="Q256" s="5"/>
      <c r="R256" s="5"/>
      <c r="S256" s="5"/>
      <c r="W256" s="5"/>
    </row>
    <row r="257" spans="17:23" x14ac:dyDescent="0.4">
      <c r="Q257" s="5"/>
      <c r="R257" s="5"/>
      <c r="S257" s="5"/>
      <c r="W257" s="5"/>
    </row>
    <row r="258" spans="17:23" x14ac:dyDescent="0.4">
      <c r="Q258" s="5"/>
      <c r="R258" s="5"/>
      <c r="S258" s="5"/>
      <c r="W258" s="5"/>
    </row>
    <row r="259" spans="17:23" x14ac:dyDescent="0.4">
      <c r="Q259" s="5"/>
      <c r="R259" s="5"/>
      <c r="S259" s="5"/>
      <c r="W259" s="5"/>
    </row>
    <row r="260" spans="17:23" x14ac:dyDescent="0.4">
      <c r="Q260" s="5"/>
      <c r="R260" s="5"/>
      <c r="S260" s="5"/>
      <c r="W260" s="5"/>
    </row>
    <row r="261" spans="17:23" x14ac:dyDescent="0.4">
      <c r="Q261" s="5"/>
      <c r="R261" s="5"/>
      <c r="S261" s="5"/>
      <c r="W261" s="5"/>
    </row>
    <row r="262" spans="17:23" x14ac:dyDescent="0.4">
      <c r="Q262" s="5"/>
      <c r="R262" s="5"/>
      <c r="S262" s="5"/>
      <c r="W262" s="5"/>
    </row>
    <row r="263" spans="17:23" x14ac:dyDescent="0.4">
      <c r="Q263" s="5"/>
      <c r="R263" s="5"/>
      <c r="S263" s="5"/>
      <c r="W263" s="5"/>
    </row>
    <row r="264" spans="17:23" x14ac:dyDescent="0.4">
      <c r="Q264" s="5"/>
      <c r="R264" s="5"/>
      <c r="S264" s="5"/>
      <c r="W264" s="5"/>
    </row>
    <row r="265" spans="17:23" x14ac:dyDescent="0.4">
      <c r="Q265" s="5"/>
      <c r="R265" s="5"/>
      <c r="S265" s="5"/>
      <c r="W265" s="5"/>
    </row>
    <row r="266" spans="17:23" x14ac:dyDescent="0.4">
      <c r="Q266" s="5"/>
      <c r="R266" s="5"/>
      <c r="S266" s="5"/>
      <c r="W266" s="5"/>
    </row>
    <row r="267" spans="17:23" x14ac:dyDescent="0.4">
      <c r="Q267" s="5"/>
      <c r="R267" s="5"/>
      <c r="S267" s="5"/>
      <c r="W267" s="5"/>
    </row>
    <row r="268" spans="17:23" x14ac:dyDescent="0.4">
      <c r="Q268" s="5"/>
      <c r="R268" s="5"/>
      <c r="S268" s="5"/>
      <c r="W268" s="5"/>
    </row>
    <row r="269" spans="17:23" x14ac:dyDescent="0.4">
      <c r="Q269" s="5"/>
      <c r="R269" s="5"/>
      <c r="S269" s="5"/>
      <c r="W269" s="5"/>
    </row>
    <row r="270" spans="17:23" x14ac:dyDescent="0.4">
      <c r="Q270" s="5"/>
      <c r="R270" s="5"/>
      <c r="S270" s="5"/>
      <c r="W270" s="5"/>
    </row>
    <row r="271" spans="17:23" x14ac:dyDescent="0.4">
      <c r="Q271" s="5"/>
      <c r="R271" s="5"/>
      <c r="S271" s="5"/>
      <c r="W271" s="5"/>
    </row>
    <row r="272" spans="17:23" x14ac:dyDescent="0.4">
      <c r="Q272" s="5"/>
      <c r="R272" s="5"/>
      <c r="S272" s="5"/>
      <c r="W272" s="5"/>
    </row>
    <row r="273" spans="17:23" x14ac:dyDescent="0.4">
      <c r="Q273" s="5"/>
      <c r="R273" s="5"/>
      <c r="S273" s="5"/>
      <c r="W273" s="5"/>
    </row>
    <row r="274" spans="17:23" x14ac:dyDescent="0.4">
      <c r="Q274" s="5"/>
      <c r="R274" s="5"/>
      <c r="S274" s="5"/>
      <c r="W274" s="5"/>
    </row>
    <row r="275" spans="17:23" x14ac:dyDescent="0.4">
      <c r="Q275" s="5"/>
      <c r="R275" s="5"/>
      <c r="S275" s="5"/>
      <c r="W275" s="5"/>
    </row>
    <row r="276" spans="17:23" x14ac:dyDescent="0.4">
      <c r="Q276" s="5"/>
      <c r="R276" s="5"/>
      <c r="S276" s="5"/>
      <c r="W276" s="5"/>
    </row>
    <row r="277" spans="17:23" x14ac:dyDescent="0.4">
      <c r="Q277" s="5"/>
      <c r="R277" s="5"/>
      <c r="S277" s="5"/>
      <c r="W277" s="5"/>
    </row>
    <row r="278" spans="17:23" x14ac:dyDescent="0.4">
      <c r="Q278" s="5"/>
      <c r="R278" s="5"/>
      <c r="S278" s="5"/>
      <c r="W278" s="5"/>
    </row>
    <row r="279" spans="17:23" x14ac:dyDescent="0.4">
      <c r="Q279" s="5"/>
      <c r="R279" s="5"/>
      <c r="S279" s="5"/>
      <c r="W279" s="5"/>
    </row>
    <row r="280" spans="17:23" x14ac:dyDescent="0.4">
      <c r="Q280" s="5"/>
      <c r="R280" s="5"/>
      <c r="S280" s="5"/>
      <c r="W280" s="5"/>
    </row>
    <row r="281" spans="17:23" x14ac:dyDescent="0.4">
      <c r="Q281" s="5"/>
      <c r="R281" s="5"/>
      <c r="S281" s="5"/>
      <c r="W281" s="5"/>
    </row>
    <row r="282" spans="17:23" x14ac:dyDescent="0.4">
      <c r="Q282" s="5"/>
      <c r="R282" s="5"/>
      <c r="S282" s="5"/>
      <c r="W282" s="5"/>
    </row>
    <row r="283" spans="17:23" x14ac:dyDescent="0.4">
      <c r="Q283" s="5"/>
      <c r="R283" s="5"/>
      <c r="S283" s="5"/>
      <c r="W283" s="5"/>
    </row>
    <row r="284" spans="17:23" x14ac:dyDescent="0.4">
      <c r="Q284" s="5"/>
      <c r="R284" s="5"/>
      <c r="S284" s="5"/>
      <c r="W284" s="5"/>
    </row>
    <row r="285" spans="17:23" x14ac:dyDescent="0.4">
      <c r="Q285" s="5"/>
      <c r="R285" s="5"/>
      <c r="S285" s="5"/>
      <c r="W285" s="5"/>
    </row>
    <row r="286" spans="17:23" x14ac:dyDescent="0.4">
      <c r="Q286" s="5"/>
      <c r="R286" s="5"/>
      <c r="S286" s="5"/>
      <c r="W286" s="5"/>
    </row>
    <row r="287" spans="17:23" x14ac:dyDescent="0.4">
      <c r="Q287" s="5"/>
      <c r="R287" s="5"/>
      <c r="S287" s="5"/>
      <c r="W287" s="5"/>
    </row>
    <row r="288" spans="17:23" x14ac:dyDescent="0.4">
      <c r="Q288" s="5"/>
      <c r="R288" s="5"/>
      <c r="S288" s="5"/>
      <c r="W288" s="5"/>
    </row>
    <row r="289" spans="17:23" x14ac:dyDescent="0.4">
      <c r="Q289" s="5"/>
      <c r="R289" s="5"/>
      <c r="S289" s="5"/>
      <c r="W289" s="5"/>
    </row>
    <row r="290" spans="17:23" x14ac:dyDescent="0.4">
      <c r="Q290" s="5"/>
      <c r="R290" s="5"/>
      <c r="S290" s="5"/>
      <c r="W290" s="5"/>
    </row>
    <row r="291" spans="17:23" x14ac:dyDescent="0.4">
      <c r="Q291" s="5"/>
      <c r="R291" s="5"/>
      <c r="S291" s="5"/>
      <c r="W291" s="5"/>
    </row>
    <row r="292" spans="17:23" x14ac:dyDescent="0.4">
      <c r="Q292" s="5"/>
      <c r="R292" s="5"/>
      <c r="S292" s="5"/>
      <c r="W292" s="5"/>
    </row>
    <row r="293" spans="17:23" x14ac:dyDescent="0.4">
      <c r="Q293" s="5"/>
      <c r="R293" s="5"/>
      <c r="S293" s="5"/>
      <c r="W293" s="5"/>
    </row>
    <row r="294" spans="17:23" x14ac:dyDescent="0.4">
      <c r="Q294" s="5"/>
      <c r="R294" s="5"/>
      <c r="S294" s="5"/>
      <c r="W294" s="5"/>
    </row>
    <row r="295" spans="17:23" x14ac:dyDescent="0.4">
      <c r="Q295" s="5"/>
      <c r="R295" s="5"/>
      <c r="S295" s="5"/>
      <c r="W295" s="5"/>
    </row>
    <row r="296" spans="17:23" x14ac:dyDescent="0.4">
      <c r="Q296" s="5"/>
      <c r="R296" s="5"/>
      <c r="S296" s="5"/>
      <c r="W296" s="5"/>
    </row>
    <row r="297" spans="17:23" x14ac:dyDescent="0.4">
      <c r="Q297" s="5"/>
      <c r="R297" s="5"/>
      <c r="S297" s="5"/>
      <c r="W297" s="5"/>
    </row>
    <row r="298" spans="17:23" x14ac:dyDescent="0.4">
      <c r="Q298" s="5"/>
      <c r="R298" s="5"/>
      <c r="S298" s="5"/>
      <c r="W298" s="5"/>
    </row>
    <row r="299" spans="17:23" x14ac:dyDescent="0.4">
      <c r="Q299" s="5"/>
      <c r="R299" s="5"/>
      <c r="S299" s="5"/>
      <c r="W299" s="5"/>
    </row>
    <row r="300" spans="17:23" x14ac:dyDescent="0.4">
      <c r="Q300" s="5"/>
      <c r="R300" s="5"/>
      <c r="S300" s="5"/>
      <c r="W300" s="5"/>
    </row>
    <row r="301" spans="17:23" x14ac:dyDescent="0.4">
      <c r="Q301" s="5"/>
      <c r="R301" s="5"/>
      <c r="S301" s="5"/>
      <c r="W301" s="5"/>
    </row>
    <row r="302" spans="17:23" x14ac:dyDescent="0.4">
      <c r="Q302" s="5"/>
      <c r="R302" s="5"/>
      <c r="S302" s="5"/>
      <c r="W302" s="5"/>
    </row>
    <row r="303" spans="17:23" x14ac:dyDescent="0.4">
      <c r="Q303" s="5"/>
      <c r="R303" s="5"/>
      <c r="S303" s="5"/>
      <c r="W303" s="5"/>
    </row>
    <row r="304" spans="17:23" x14ac:dyDescent="0.4">
      <c r="Q304" s="5"/>
      <c r="R304" s="5"/>
      <c r="S304" s="5"/>
      <c r="W304" s="5"/>
    </row>
    <row r="305" spans="17:23" x14ac:dyDescent="0.4">
      <c r="Q305" s="5"/>
      <c r="R305" s="5"/>
      <c r="S305" s="5"/>
      <c r="W305" s="5"/>
    </row>
    <row r="306" spans="17:23" x14ac:dyDescent="0.4">
      <c r="Q306" s="5"/>
      <c r="R306" s="5"/>
      <c r="S306" s="5"/>
      <c r="W306" s="5"/>
    </row>
    <row r="307" spans="17:23" x14ac:dyDescent="0.4">
      <c r="Q307" s="5"/>
      <c r="R307" s="5"/>
      <c r="S307" s="5"/>
      <c r="W307" s="5"/>
    </row>
    <row r="308" spans="17:23" x14ac:dyDescent="0.4">
      <c r="Q308" s="5"/>
      <c r="R308" s="5"/>
      <c r="S308" s="5"/>
      <c r="W308" s="5"/>
    </row>
    <row r="309" spans="17:23" x14ac:dyDescent="0.4">
      <c r="Q309" s="5"/>
      <c r="R309" s="5"/>
      <c r="S309" s="5"/>
      <c r="W309" s="5"/>
    </row>
    <row r="310" spans="17:23" x14ac:dyDescent="0.4">
      <c r="Q310" s="5"/>
      <c r="R310" s="5"/>
      <c r="S310" s="5"/>
      <c r="W310" s="5"/>
    </row>
    <row r="311" spans="17:23" x14ac:dyDescent="0.4">
      <c r="Q311" s="5"/>
      <c r="R311" s="5"/>
      <c r="S311" s="5"/>
      <c r="W311" s="5"/>
    </row>
    <row r="312" spans="17:23" x14ac:dyDescent="0.4">
      <c r="Q312" s="5"/>
      <c r="R312" s="5"/>
      <c r="S312" s="5"/>
      <c r="W312" s="5"/>
    </row>
    <row r="313" spans="17:23" x14ac:dyDescent="0.4">
      <c r="Q313" s="5"/>
      <c r="R313" s="5"/>
      <c r="S313" s="5"/>
      <c r="W313" s="5"/>
    </row>
    <row r="314" spans="17:23" x14ac:dyDescent="0.4">
      <c r="Q314" s="5"/>
      <c r="R314" s="5"/>
      <c r="S314" s="5"/>
      <c r="W314" s="5"/>
    </row>
    <row r="315" spans="17:23" x14ac:dyDescent="0.4">
      <c r="Q315" s="5"/>
      <c r="R315" s="5"/>
      <c r="S315" s="5"/>
      <c r="W315" s="5"/>
    </row>
    <row r="316" spans="17:23" x14ac:dyDescent="0.4">
      <c r="Q316" s="5"/>
      <c r="R316" s="5"/>
      <c r="S316" s="5"/>
      <c r="W316" s="5"/>
    </row>
    <row r="317" spans="17:23" x14ac:dyDescent="0.4">
      <c r="Q317" s="5"/>
      <c r="R317" s="5"/>
      <c r="S317" s="5"/>
      <c r="W317" s="5"/>
    </row>
    <row r="318" spans="17:23" x14ac:dyDescent="0.4">
      <c r="Q318" s="5"/>
      <c r="R318" s="5"/>
      <c r="S318" s="5"/>
      <c r="W318" s="5"/>
    </row>
    <row r="319" spans="17:23" x14ac:dyDescent="0.4">
      <c r="Q319" s="5"/>
      <c r="R319" s="5"/>
      <c r="S319" s="5"/>
      <c r="W319" s="5"/>
    </row>
    <row r="320" spans="17:23" x14ac:dyDescent="0.4">
      <c r="Q320" s="5"/>
      <c r="R320" s="5"/>
      <c r="S320" s="5"/>
      <c r="W320" s="5"/>
    </row>
    <row r="321" spans="17:23" x14ac:dyDescent="0.4">
      <c r="Q321" s="5"/>
      <c r="R321" s="5"/>
      <c r="S321" s="5"/>
      <c r="W321" s="5"/>
    </row>
    <row r="322" spans="17:23" x14ac:dyDescent="0.4">
      <c r="Q322" s="5"/>
      <c r="R322" s="5"/>
      <c r="S322" s="5"/>
      <c r="W322" s="5"/>
    </row>
    <row r="323" spans="17:23" x14ac:dyDescent="0.4">
      <c r="Q323" s="5"/>
      <c r="R323" s="5"/>
      <c r="S323" s="5"/>
      <c r="W323" s="5"/>
    </row>
    <row r="324" spans="17:23" x14ac:dyDescent="0.4">
      <c r="Q324" s="5"/>
      <c r="R324" s="5"/>
      <c r="S324" s="5"/>
      <c r="W324" s="5"/>
    </row>
    <row r="325" spans="17:23" x14ac:dyDescent="0.4">
      <c r="Q325" s="5"/>
      <c r="R325" s="5"/>
      <c r="S325" s="5"/>
      <c r="W325" s="5"/>
    </row>
    <row r="326" spans="17:23" x14ac:dyDescent="0.4">
      <c r="Q326" s="5"/>
      <c r="R326" s="5"/>
      <c r="S326" s="5"/>
      <c r="W326" s="5"/>
    </row>
    <row r="327" spans="17:23" x14ac:dyDescent="0.4">
      <c r="Q327" s="5"/>
      <c r="R327" s="5"/>
      <c r="S327" s="5"/>
      <c r="W327" s="5"/>
    </row>
    <row r="328" spans="17:23" x14ac:dyDescent="0.4">
      <c r="Q328" s="5"/>
      <c r="R328" s="5"/>
      <c r="S328" s="5"/>
      <c r="W328" s="5"/>
    </row>
    <row r="329" spans="17:23" x14ac:dyDescent="0.4">
      <c r="Q329" s="5"/>
      <c r="R329" s="5"/>
      <c r="S329" s="5"/>
      <c r="W329" s="5"/>
    </row>
    <row r="330" spans="17:23" x14ac:dyDescent="0.4">
      <c r="Q330" s="5"/>
      <c r="R330" s="5"/>
      <c r="S330" s="5"/>
      <c r="W330" s="5"/>
    </row>
    <row r="331" spans="17:23" x14ac:dyDescent="0.4">
      <c r="Q331" s="5"/>
      <c r="R331" s="5"/>
      <c r="S331" s="5"/>
      <c r="W331" s="5"/>
    </row>
    <row r="332" spans="17:23" x14ac:dyDescent="0.4">
      <c r="Q332" s="5"/>
      <c r="R332" s="5"/>
      <c r="S332" s="5"/>
      <c r="W332" s="5"/>
    </row>
    <row r="333" spans="17:23" x14ac:dyDescent="0.4">
      <c r="Q333" s="5"/>
      <c r="R333" s="5"/>
      <c r="S333" s="5"/>
      <c r="W333" s="5"/>
    </row>
    <row r="334" spans="17:23" x14ac:dyDescent="0.4">
      <c r="Q334" s="5"/>
      <c r="R334" s="5"/>
      <c r="S334" s="5"/>
      <c r="W334" s="5"/>
    </row>
    <row r="335" spans="17:23" x14ac:dyDescent="0.4">
      <c r="Q335" s="5"/>
      <c r="R335" s="5"/>
      <c r="S335" s="5"/>
      <c r="W335" s="5"/>
    </row>
    <row r="336" spans="17:23" x14ac:dyDescent="0.4">
      <c r="Q336" s="5"/>
      <c r="R336" s="5"/>
      <c r="S336" s="5"/>
      <c r="W336" s="5"/>
    </row>
    <row r="337" spans="17:23" x14ac:dyDescent="0.4">
      <c r="Q337" s="5"/>
      <c r="R337" s="5"/>
      <c r="S337" s="5"/>
      <c r="W337" s="5"/>
    </row>
    <row r="338" spans="17:23" x14ac:dyDescent="0.4">
      <c r="Q338" s="5"/>
      <c r="R338" s="5"/>
      <c r="S338" s="5"/>
      <c r="W338" s="5"/>
    </row>
    <row r="339" spans="17:23" x14ac:dyDescent="0.4">
      <c r="Q339" s="5"/>
      <c r="R339" s="5"/>
      <c r="S339" s="5"/>
      <c r="W339" s="5"/>
    </row>
    <row r="340" spans="17:23" x14ac:dyDescent="0.4">
      <c r="Q340" s="5"/>
      <c r="R340" s="5"/>
      <c r="S340" s="5"/>
      <c r="W340" s="5"/>
    </row>
    <row r="341" spans="17:23" x14ac:dyDescent="0.4">
      <c r="Q341" s="5"/>
      <c r="R341" s="5"/>
      <c r="S341" s="5"/>
      <c r="W341" s="5"/>
    </row>
    <row r="342" spans="17:23" x14ac:dyDescent="0.4">
      <c r="Q342" s="5"/>
      <c r="R342" s="5"/>
      <c r="S342" s="5"/>
      <c r="W342" s="5"/>
    </row>
    <row r="343" spans="17:23" x14ac:dyDescent="0.4">
      <c r="Q343" s="5"/>
      <c r="R343" s="5"/>
      <c r="S343" s="5"/>
      <c r="W343" s="5"/>
    </row>
    <row r="344" spans="17:23" x14ac:dyDescent="0.4">
      <c r="Q344" s="5"/>
      <c r="R344" s="5"/>
      <c r="S344" s="5"/>
      <c r="W344" s="5"/>
    </row>
    <row r="345" spans="17:23" x14ac:dyDescent="0.4">
      <c r="Q345" s="5"/>
      <c r="R345" s="5"/>
      <c r="S345" s="5"/>
      <c r="W345" s="5"/>
    </row>
    <row r="346" spans="17:23" x14ac:dyDescent="0.4">
      <c r="Q346" s="5"/>
      <c r="R346" s="5"/>
      <c r="S346" s="5"/>
      <c r="W346" s="5"/>
    </row>
    <row r="347" spans="17:23" x14ac:dyDescent="0.4">
      <c r="Q347" s="5"/>
      <c r="R347" s="5"/>
      <c r="S347" s="5"/>
      <c r="W347" s="5"/>
    </row>
    <row r="348" spans="17:23" x14ac:dyDescent="0.4">
      <c r="Q348" s="5"/>
      <c r="R348" s="5"/>
      <c r="S348" s="5"/>
      <c r="W348" s="5"/>
    </row>
    <row r="349" spans="17:23" x14ac:dyDescent="0.4">
      <c r="Q349" s="5"/>
      <c r="R349" s="5"/>
      <c r="S349" s="5"/>
      <c r="W349" s="5"/>
    </row>
    <row r="350" spans="17:23" x14ac:dyDescent="0.4">
      <c r="Q350" s="5"/>
      <c r="R350" s="5"/>
      <c r="S350" s="5"/>
      <c r="W350" s="5"/>
    </row>
    <row r="351" spans="17:23" x14ac:dyDescent="0.4">
      <c r="Q351" s="5"/>
      <c r="R351" s="5"/>
      <c r="S351" s="5"/>
      <c r="W351" s="5"/>
    </row>
    <row r="352" spans="17:23" x14ac:dyDescent="0.4">
      <c r="Q352" s="5"/>
      <c r="R352" s="5"/>
      <c r="S352" s="5"/>
      <c r="W352" s="5"/>
    </row>
    <row r="353" spans="17:23" x14ac:dyDescent="0.4">
      <c r="Q353" s="5"/>
      <c r="R353" s="5"/>
      <c r="S353" s="5"/>
      <c r="W353" s="5"/>
    </row>
    <row r="354" spans="17:23" x14ac:dyDescent="0.4">
      <c r="Q354" s="5"/>
      <c r="R354" s="5"/>
      <c r="S354" s="5"/>
      <c r="W354" s="5"/>
    </row>
    <row r="355" spans="17:23" x14ac:dyDescent="0.4">
      <c r="Q355" s="5"/>
      <c r="R355" s="5"/>
      <c r="S355" s="5"/>
      <c r="W355" s="5"/>
    </row>
    <row r="356" spans="17:23" x14ac:dyDescent="0.4">
      <c r="Q356" s="5"/>
      <c r="R356" s="5"/>
      <c r="S356" s="5"/>
      <c r="W356" s="5"/>
    </row>
    <row r="357" spans="17:23" x14ac:dyDescent="0.4">
      <c r="Q357" s="5"/>
      <c r="R357" s="5"/>
      <c r="S357" s="5"/>
      <c r="W357" s="5"/>
    </row>
    <row r="358" spans="17:23" x14ac:dyDescent="0.4">
      <c r="Q358" s="5"/>
      <c r="R358" s="5"/>
      <c r="S358" s="5"/>
      <c r="W358" s="5"/>
    </row>
    <row r="359" spans="17:23" x14ac:dyDescent="0.4">
      <c r="Q359" s="5"/>
      <c r="R359" s="5"/>
      <c r="S359" s="5"/>
      <c r="W359" s="5"/>
    </row>
    <row r="360" spans="17:23" x14ac:dyDescent="0.4">
      <c r="Q360" s="5"/>
      <c r="R360" s="5"/>
      <c r="S360" s="5"/>
      <c r="W360" s="5"/>
    </row>
    <row r="361" spans="17:23" x14ac:dyDescent="0.4">
      <c r="Q361" s="5"/>
      <c r="R361" s="5"/>
      <c r="S361" s="5"/>
      <c r="W361" s="5"/>
    </row>
    <row r="362" spans="17:23" x14ac:dyDescent="0.4">
      <c r="Q362" s="5"/>
      <c r="R362" s="5"/>
      <c r="S362" s="5"/>
      <c r="W362" s="5"/>
    </row>
    <row r="363" spans="17:23" x14ac:dyDescent="0.4">
      <c r="Q363" s="5"/>
      <c r="R363" s="5"/>
      <c r="S363" s="5"/>
      <c r="W363" s="5"/>
    </row>
    <row r="364" spans="17:23" x14ac:dyDescent="0.4">
      <c r="Q364" s="5"/>
      <c r="R364" s="5"/>
      <c r="S364" s="5"/>
      <c r="W364" s="5"/>
    </row>
    <row r="365" spans="17:23" x14ac:dyDescent="0.4">
      <c r="Q365" s="5"/>
      <c r="R365" s="5"/>
      <c r="S365" s="5"/>
      <c r="W365" s="5"/>
    </row>
    <row r="366" spans="17:23" x14ac:dyDescent="0.4">
      <c r="Q366" s="5"/>
      <c r="R366" s="5"/>
      <c r="S366" s="5"/>
      <c r="W366" s="5"/>
    </row>
    <row r="367" spans="17:23" x14ac:dyDescent="0.4">
      <c r="Q367" s="5"/>
      <c r="R367" s="5"/>
      <c r="S367" s="5"/>
      <c r="W367" s="5"/>
    </row>
    <row r="368" spans="17:23" x14ac:dyDescent="0.4">
      <c r="Q368" s="5"/>
      <c r="R368" s="5"/>
      <c r="S368" s="5"/>
      <c r="W368" s="5"/>
    </row>
    <row r="369" spans="17:23" x14ac:dyDescent="0.4">
      <c r="Q369" s="5"/>
      <c r="R369" s="5"/>
      <c r="S369" s="5"/>
      <c r="W369" s="5"/>
    </row>
    <row r="370" spans="17:23" x14ac:dyDescent="0.4">
      <c r="Q370" s="5"/>
      <c r="R370" s="5"/>
      <c r="S370" s="5"/>
      <c r="W370" s="5"/>
    </row>
    <row r="371" spans="17:23" x14ac:dyDescent="0.4">
      <c r="Q371" s="5"/>
      <c r="R371" s="5"/>
      <c r="S371" s="5"/>
      <c r="W371" s="5"/>
    </row>
    <row r="372" spans="17:23" x14ac:dyDescent="0.4">
      <c r="Q372" s="5"/>
      <c r="R372" s="5"/>
      <c r="S372" s="5"/>
      <c r="W372" s="5"/>
    </row>
    <row r="373" spans="17:23" x14ac:dyDescent="0.4">
      <c r="Q373" s="5"/>
      <c r="R373" s="5"/>
      <c r="S373" s="5"/>
      <c r="W373" s="5"/>
    </row>
    <row r="374" spans="17:23" x14ac:dyDescent="0.4">
      <c r="Q374" s="5"/>
      <c r="R374" s="5"/>
      <c r="S374" s="5"/>
      <c r="W374" s="5"/>
    </row>
    <row r="375" spans="17:23" x14ac:dyDescent="0.4">
      <c r="Q375" s="5"/>
      <c r="R375" s="5"/>
      <c r="S375" s="5"/>
      <c r="W375" s="5"/>
    </row>
    <row r="376" spans="17:23" x14ac:dyDescent="0.4">
      <c r="Q376" s="5"/>
      <c r="R376" s="5"/>
      <c r="S376" s="5"/>
      <c r="W376" s="5"/>
    </row>
    <row r="377" spans="17:23" x14ac:dyDescent="0.4">
      <c r="Q377" s="5"/>
      <c r="R377" s="5"/>
      <c r="S377" s="5"/>
      <c r="W377" s="5"/>
    </row>
    <row r="378" spans="17:23" x14ac:dyDescent="0.4">
      <c r="Q378" s="5"/>
      <c r="R378" s="5"/>
      <c r="S378" s="5"/>
      <c r="W378" s="5"/>
    </row>
    <row r="379" spans="17:23" x14ac:dyDescent="0.4">
      <c r="Q379" s="5"/>
      <c r="R379" s="5"/>
      <c r="S379" s="5"/>
      <c r="W379" s="5"/>
    </row>
    <row r="380" spans="17:23" x14ac:dyDescent="0.4">
      <c r="Q380" s="5"/>
      <c r="R380" s="5"/>
      <c r="S380" s="5"/>
      <c r="W380" s="5"/>
    </row>
    <row r="381" spans="17:23" x14ac:dyDescent="0.4">
      <c r="Q381" s="5"/>
      <c r="R381" s="5"/>
      <c r="S381" s="5"/>
      <c r="W381" s="5"/>
    </row>
    <row r="382" spans="17:23" x14ac:dyDescent="0.4">
      <c r="Q382" s="5"/>
      <c r="R382" s="5"/>
      <c r="S382" s="5"/>
      <c r="W382" s="5"/>
    </row>
    <row r="383" spans="17:23" x14ac:dyDescent="0.4">
      <c r="Q383" s="5"/>
      <c r="R383" s="5"/>
      <c r="S383" s="5"/>
      <c r="W383" s="5"/>
    </row>
    <row r="384" spans="17:23" x14ac:dyDescent="0.4">
      <c r="Q384" s="5"/>
      <c r="R384" s="5"/>
      <c r="S384" s="5"/>
      <c r="W384" s="5"/>
    </row>
    <row r="385" spans="17:23" x14ac:dyDescent="0.4">
      <c r="Q385" s="5"/>
      <c r="R385" s="5"/>
      <c r="S385" s="5"/>
      <c r="W385" s="5"/>
    </row>
    <row r="386" spans="17:23" x14ac:dyDescent="0.4">
      <c r="Q386" s="5"/>
      <c r="R386" s="5"/>
      <c r="S386" s="5"/>
      <c r="W386" s="5"/>
    </row>
    <row r="387" spans="17:23" x14ac:dyDescent="0.4">
      <c r="Q387" s="5"/>
      <c r="R387" s="5"/>
      <c r="S387" s="5"/>
      <c r="W387" s="5"/>
    </row>
    <row r="388" spans="17:23" x14ac:dyDescent="0.4">
      <c r="Q388" s="5"/>
      <c r="R388" s="5"/>
      <c r="S388" s="5"/>
      <c r="W388" s="5"/>
    </row>
    <row r="389" spans="17:23" x14ac:dyDescent="0.4">
      <c r="Q389" s="5"/>
      <c r="R389" s="5"/>
      <c r="S389" s="5"/>
      <c r="W389" s="5"/>
    </row>
    <row r="390" spans="17:23" x14ac:dyDescent="0.4">
      <c r="Q390" s="5"/>
      <c r="R390" s="5"/>
      <c r="S390" s="5"/>
      <c r="W390" s="5"/>
    </row>
    <row r="391" spans="17:23" x14ac:dyDescent="0.4">
      <c r="Q391" s="5"/>
      <c r="R391" s="5"/>
      <c r="S391" s="5"/>
      <c r="W391" s="5"/>
    </row>
    <row r="392" spans="17:23" x14ac:dyDescent="0.4">
      <c r="Q392" s="5"/>
      <c r="R392" s="5"/>
      <c r="S392" s="5"/>
      <c r="W392" s="5"/>
    </row>
    <row r="393" spans="17:23" x14ac:dyDescent="0.4">
      <c r="Q393" s="5"/>
      <c r="R393" s="5"/>
      <c r="S393" s="5"/>
      <c r="W393" s="5"/>
    </row>
    <row r="394" spans="17:23" x14ac:dyDescent="0.4">
      <c r="Q394" s="5"/>
      <c r="R394" s="5"/>
      <c r="S394" s="5"/>
      <c r="W394" s="5"/>
    </row>
    <row r="395" spans="17:23" x14ac:dyDescent="0.4">
      <c r="Q395" s="5"/>
      <c r="R395" s="5"/>
      <c r="S395" s="5"/>
      <c r="W395" s="5"/>
    </row>
    <row r="396" spans="17:23" x14ac:dyDescent="0.4">
      <c r="Q396" s="5"/>
      <c r="R396" s="5"/>
      <c r="S396" s="5"/>
      <c r="W396" s="5"/>
    </row>
    <row r="397" spans="17:23" x14ac:dyDescent="0.4">
      <c r="Q397" s="5"/>
      <c r="R397" s="5"/>
      <c r="S397" s="5"/>
      <c r="W397" s="5"/>
    </row>
    <row r="398" spans="17:23" x14ac:dyDescent="0.4">
      <c r="Q398" s="5"/>
      <c r="R398" s="5"/>
      <c r="S398" s="5"/>
      <c r="W398" s="5"/>
    </row>
    <row r="399" spans="17:23" x14ac:dyDescent="0.4">
      <c r="Q399" s="5"/>
      <c r="R399" s="5"/>
      <c r="S399" s="5"/>
      <c r="W399" s="5"/>
    </row>
    <row r="400" spans="17:23" x14ac:dyDescent="0.4">
      <c r="Q400" s="5"/>
      <c r="R400" s="5"/>
      <c r="S400" s="5"/>
      <c r="W400" s="5"/>
    </row>
    <row r="401" spans="17:23" x14ac:dyDescent="0.4">
      <c r="Q401" s="5"/>
      <c r="R401" s="5"/>
      <c r="S401" s="5"/>
      <c r="W401" s="5"/>
    </row>
    <row r="402" spans="17:23" x14ac:dyDescent="0.4">
      <c r="Q402" s="5"/>
      <c r="R402" s="5"/>
      <c r="S402" s="5"/>
      <c r="W402" s="5"/>
    </row>
    <row r="403" spans="17:23" x14ac:dyDescent="0.4">
      <c r="Q403" s="5"/>
      <c r="R403" s="5"/>
      <c r="S403" s="5"/>
      <c r="W403" s="5"/>
    </row>
    <row r="404" spans="17:23" x14ac:dyDescent="0.4">
      <c r="Q404" s="5"/>
      <c r="R404" s="5"/>
      <c r="S404" s="5"/>
      <c r="W404" s="5"/>
    </row>
    <row r="405" spans="17:23" x14ac:dyDescent="0.4">
      <c r="Q405" s="5"/>
      <c r="R405" s="5"/>
      <c r="S405" s="5"/>
      <c r="W405" s="5"/>
    </row>
    <row r="406" spans="17:23" x14ac:dyDescent="0.4">
      <c r="Q406" s="5"/>
      <c r="R406" s="5"/>
      <c r="S406" s="5"/>
      <c r="W406" s="5"/>
    </row>
    <row r="407" spans="17:23" x14ac:dyDescent="0.4">
      <c r="Q407" s="5"/>
      <c r="R407" s="5"/>
      <c r="S407" s="5"/>
      <c r="W407" s="5"/>
    </row>
    <row r="408" spans="17:23" x14ac:dyDescent="0.4">
      <c r="Q408" s="5"/>
      <c r="R408" s="5"/>
      <c r="S408" s="5"/>
      <c r="W408" s="5"/>
    </row>
    <row r="409" spans="17:23" x14ac:dyDescent="0.4">
      <c r="Q409" s="5"/>
      <c r="R409" s="5"/>
      <c r="S409" s="5"/>
      <c r="W409" s="5"/>
    </row>
    <row r="410" spans="17:23" x14ac:dyDescent="0.4">
      <c r="Q410" s="5"/>
      <c r="R410" s="5"/>
      <c r="S410" s="5"/>
      <c r="W410" s="5"/>
    </row>
    <row r="411" spans="17:23" x14ac:dyDescent="0.4">
      <c r="Q411" s="5"/>
      <c r="R411" s="5"/>
      <c r="S411" s="5"/>
      <c r="W411" s="5"/>
    </row>
    <row r="412" spans="17:23" x14ac:dyDescent="0.4">
      <c r="Q412" s="5"/>
      <c r="R412" s="5"/>
      <c r="S412" s="5"/>
      <c r="W412" s="5"/>
    </row>
    <row r="413" spans="17:23" x14ac:dyDescent="0.4">
      <c r="Q413" s="5"/>
      <c r="R413" s="5"/>
      <c r="S413" s="5"/>
      <c r="W413" s="5"/>
    </row>
    <row r="414" spans="17:23" x14ac:dyDescent="0.4">
      <c r="Q414" s="5"/>
      <c r="R414" s="5"/>
      <c r="S414" s="5"/>
      <c r="W414" s="5"/>
    </row>
    <row r="415" spans="17:23" x14ac:dyDescent="0.4">
      <c r="Q415" s="5"/>
      <c r="R415" s="5"/>
      <c r="S415" s="5"/>
      <c r="W415" s="5"/>
    </row>
    <row r="416" spans="17:23" x14ac:dyDescent="0.4">
      <c r="Q416" s="5"/>
      <c r="R416" s="5"/>
      <c r="S416" s="5"/>
      <c r="W416" s="5"/>
    </row>
    <row r="417" spans="17:23" x14ac:dyDescent="0.4">
      <c r="Q417" s="5"/>
      <c r="R417" s="5"/>
      <c r="S417" s="5"/>
      <c r="W417" s="5"/>
    </row>
    <row r="418" spans="17:23" x14ac:dyDescent="0.4">
      <c r="Q418" s="5"/>
      <c r="R418" s="5"/>
      <c r="S418" s="5"/>
      <c r="W418" s="5"/>
    </row>
    <row r="419" spans="17:23" x14ac:dyDescent="0.4">
      <c r="Q419" s="5"/>
      <c r="R419" s="5"/>
      <c r="S419" s="5"/>
      <c r="W419" s="5"/>
    </row>
    <row r="420" spans="17:23" x14ac:dyDescent="0.4">
      <c r="Q420" s="5"/>
      <c r="R420" s="5"/>
      <c r="S420" s="5"/>
      <c r="W420" s="5"/>
    </row>
    <row r="421" spans="17:23" x14ac:dyDescent="0.4">
      <c r="Q421" s="5"/>
      <c r="R421" s="5"/>
      <c r="S421" s="5"/>
      <c r="W421" s="5"/>
    </row>
    <row r="422" spans="17:23" x14ac:dyDescent="0.4">
      <c r="Q422" s="5"/>
      <c r="R422" s="5"/>
      <c r="S422" s="5"/>
      <c r="W422" s="5"/>
    </row>
    <row r="423" spans="17:23" x14ac:dyDescent="0.4">
      <c r="Q423" s="5"/>
      <c r="R423" s="5"/>
      <c r="S423" s="5"/>
      <c r="W423" s="5"/>
    </row>
    <row r="424" spans="17:23" x14ac:dyDescent="0.4">
      <c r="Q424" s="5"/>
      <c r="R424" s="5"/>
      <c r="S424" s="5"/>
      <c r="W424" s="5"/>
    </row>
    <row r="425" spans="17:23" x14ac:dyDescent="0.4">
      <c r="Q425" s="5"/>
      <c r="R425" s="5"/>
      <c r="S425" s="5"/>
      <c r="W425" s="5"/>
    </row>
    <row r="426" spans="17:23" x14ac:dyDescent="0.4">
      <c r="Q426" s="5"/>
      <c r="R426" s="5"/>
      <c r="S426" s="5"/>
      <c r="W426" s="5"/>
    </row>
    <row r="427" spans="17:23" x14ac:dyDescent="0.4">
      <c r="Q427" s="5"/>
      <c r="R427" s="5"/>
      <c r="S427" s="5"/>
      <c r="W427" s="5"/>
    </row>
    <row r="428" spans="17:23" x14ac:dyDescent="0.4">
      <c r="Q428" s="5"/>
      <c r="R428" s="5"/>
      <c r="S428" s="5"/>
      <c r="W428" s="5"/>
    </row>
    <row r="429" spans="17:23" x14ac:dyDescent="0.4">
      <c r="Q429" s="5"/>
      <c r="R429" s="5"/>
      <c r="S429" s="5"/>
      <c r="W429" s="5"/>
    </row>
    <row r="430" spans="17:23" x14ac:dyDescent="0.4">
      <c r="Q430" s="5"/>
      <c r="R430" s="5"/>
      <c r="S430" s="5"/>
      <c r="W430" s="5"/>
    </row>
    <row r="431" spans="17:23" x14ac:dyDescent="0.4">
      <c r="Q431" s="5"/>
      <c r="R431" s="5"/>
      <c r="S431" s="5"/>
      <c r="W431" s="5"/>
    </row>
    <row r="432" spans="17:23" x14ac:dyDescent="0.4">
      <c r="Q432" s="5"/>
      <c r="R432" s="5"/>
      <c r="S432" s="5"/>
      <c r="W432" s="5"/>
    </row>
    <row r="433" spans="17:23" x14ac:dyDescent="0.4">
      <c r="Q433" s="5"/>
      <c r="R433" s="5"/>
      <c r="S433" s="5"/>
      <c r="W433" s="5"/>
    </row>
    <row r="434" spans="17:23" x14ac:dyDescent="0.4">
      <c r="Q434" s="5"/>
      <c r="R434" s="5"/>
      <c r="S434" s="5"/>
      <c r="W434" s="5"/>
    </row>
    <row r="435" spans="17:23" x14ac:dyDescent="0.4">
      <c r="Q435" s="5"/>
      <c r="R435" s="5"/>
      <c r="S435" s="5"/>
      <c r="W435" s="5"/>
    </row>
    <row r="436" spans="17:23" x14ac:dyDescent="0.4">
      <c r="Q436" s="5"/>
      <c r="R436" s="5"/>
      <c r="S436" s="5"/>
      <c r="W436" s="5"/>
    </row>
    <row r="437" spans="17:23" x14ac:dyDescent="0.4">
      <c r="Q437" s="5"/>
      <c r="R437" s="5"/>
      <c r="S437" s="5"/>
      <c r="W437" s="5"/>
    </row>
    <row r="438" spans="17:23" x14ac:dyDescent="0.4">
      <c r="Q438" s="5"/>
      <c r="R438" s="5"/>
      <c r="S438" s="5"/>
      <c r="W438" s="5"/>
    </row>
    <row r="439" spans="17:23" x14ac:dyDescent="0.4">
      <c r="Q439" s="5"/>
      <c r="R439" s="5"/>
      <c r="S439" s="5"/>
      <c r="W439" s="5"/>
    </row>
    <row r="440" spans="17:23" x14ac:dyDescent="0.4">
      <c r="Q440" s="5"/>
      <c r="R440" s="5"/>
      <c r="S440" s="5"/>
      <c r="W440" s="5"/>
    </row>
    <row r="441" spans="17:23" x14ac:dyDescent="0.4">
      <c r="Q441" s="5"/>
      <c r="R441" s="5"/>
      <c r="S441" s="5"/>
      <c r="W441" s="5"/>
    </row>
    <row r="442" spans="17:23" x14ac:dyDescent="0.4">
      <c r="Q442" s="5"/>
      <c r="R442" s="5"/>
      <c r="S442" s="5"/>
      <c r="W442" s="5"/>
    </row>
    <row r="443" spans="17:23" x14ac:dyDescent="0.4">
      <c r="Q443" s="5"/>
      <c r="R443" s="5"/>
      <c r="S443" s="5"/>
      <c r="W443" s="5"/>
    </row>
    <row r="444" spans="17:23" x14ac:dyDescent="0.4">
      <c r="Q444" s="5"/>
      <c r="R444" s="5"/>
      <c r="S444" s="5"/>
      <c r="W444" s="5"/>
    </row>
    <row r="445" spans="17:23" x14ac:dyDescent="0.4">
      <c r="Q445" s="5"/>
      <c r="R445" s="5"/>
      <c r="S445" s="5"/>
      <c r="W445" s="5"/>
    </row>
    <row r="446" spans="17:23" x14ac:dyDescent="0.4">
      <c r="Q446" s="5"/>
      <c r="R446" s="5"/>
      <c r="S446" s="5"/>
      <c r="W446" s="5"/>
    </row>
    <row r="447" spans="17:23" x14ac:dyDescent="0.4">
      <c r="Q447" s="5"/>
      <c r="R447" s="5"/>
      <c r="S447" s="5"/>
      <c r="W447" s="5"/>
    </row>
    <row r="448" spans="17:23" x14ac:dyDescent="0.4">
      <c r="Q448" s="5"/>
      <c r="R448" s="5"/>
      <c r="S448" s="5"/>
      <c r="W448" s="5"/>
    </row>
    <row r="449" spans="17:23" x14ac:dyDescent="0.4">
      <c r="Q449" s="5"/>
      <c r="R449" s="5"/>
      <c r="S449" s="5"/>
      <c r="W449" s="5"/>
    </row>
    <row r="450" spans="17:23" x14ac:dyDescent="0.4">
      <c r="Q450" s="5"/>
      <c r="R450" s="5"/>
      <c r="S450" s="5"/>
      <c r="W450" s="5"/>
    </row>
    <row r="451" spans="17:23" x14ac:dyDescent="0.4">
      <c r="Q451" s="5"/>
      <c r="R451" s="5"/>
      <c r="S451" s="5"/>
      <c r="W451" s="5"/>
    </row>
    <row r="452" spans="17:23" x14ac:dyDescent="0.4">
      <c r="Q452" s="5"/>
      <c r="R452" s="5"/>
      <c r="S452" s="5"/>
      <c r="W452" s="5"/>
    </row>
    <row r="453" spans="17:23" x14ac:dyDescent="0.4">
      <c r="Q453" s="5"/>
      <c r="R453" s="5"/>
      <c r="S453" s="5"/>
      <c r="W453" s="5"/>
    </row>
    <row r="454" spans="17:23" x14ac:dyDescent="0.4">
      <c r="Q454" s="5"/>
      <c r="R454" s="5"/>
      <c r="S454" s="5"/>
      <c r="W454" s="5"/>
    </row>
    <row r="455" spans="17:23" x14ac:dyDescent="0.4">
      <c r="Q455" s="5"/>
      <c r="R455" s="5"/>
      <c r="S455" s="5"/>
      <c r="W455" s="5"/>
    </row>
    <row r="456" spans="17:23" x14ac:dyDescent="0.4">
      <c r="Q456" s="5"/>
      <c r="R456" s="5"/>
      <c r="S456" s="5"/>
      <c r="W456" s="5"/>
    </row>
    <row r="457" spans="17:23" x14ac:dyDescent="0.4">
      <c r="Q457" s="5"/>
      <c r="R457" s="5"/>
      <c r="S457" s="5"/>
      <c r="W457" s="5"/>
    </row>
    <row r="458" spans="17:23" x14ac:dyDescent="0.4">
      <c r="Q458" s="5"/>
      <c r="R458" s="5"/>
      <c r="S458" s="5"/>
      <c r="W458" s="5"/>
    </row>
    <row r="459" spans="17:23" x14ac:dyDescent="0.4">
      <c r="Q459" s="5"/>
      <c r="R459" s="5"/>
      <c r="S459" s="5"/>
      <c r="W459" s="5"/>
    </row>
    <row r="460" spans="17:23" x14ac:dyDescent="0.4">
      <c r="Q460" s="5"/>
      <c r="R460" s="5"/>
      <c r="S460" s="5"/>
      <c r="W460" s="5"/>
    </row>
    <row r="461" spans="17:23" x14ac:dyDescent="0.4">
      <c r="Q461" s="5"/>
      <c r="R461" s="5"/>
      <c r="S461" s="5"/>
      <c r="W461" s="5"/>
    </row>
    <row r="462" spans="17:23" x14ac:dyDescent="0.4">
      <c r="Q462" s="5"/>
      <c r="R462" s="5"/>
      <c r="S462" s="5"/>
      <c r="W462" s="5"/>
    </row>
    <row r="463" spans="17:23" x14ac:dyDescent="0.4">
      <c r="Q463" s="5"/>
      <c r="R463" s="5"/>
      <c r="S463" s="5"/>
      <c r="W463" s="5"/>
    </row>
    <row r="464" spans="17:23" x14ac:dyDescent="0.4">
      <c r="Q464" s="5"/>
      <c r="R464" s="5"/>
      <c r="S464" s="5"/>
      <c r="W464" s="5"/>
    </row>
    <row r="465" spans="17:23" x14ac:dyDescent="0.4">
      <c r="Q465" s="5"/>
      <c r="R465" s="5"/>
      <c r="S465" s="5"/>
      <c r="W465" s="5"/>
    </row>
    <row r="466" spans="17:23" x14ac:dyDescent="0.4">
      <c r="Q466" s="5"/>
      <c r="R466" s="5"/>
      <c r="S466" s="5"/>
      <c r="W466" s="5"/>
    </row>
    <row r="467" spans="17:23" x14ac:dyDescent="0.4">
      <c r="Q467" s="5"/>
      <c r="R467" s="5"/>
      <c r="S467" s="5"/>
      <c r="W467" s="5"/>
    </row>
    <row r="468" spans="17:23" x14ac:dyDescent="0.4">
      <c r="Q468" s="5"/>
      <c r="R468" s="5"/>
      <c r="S468" s="5"/>
      <c r="W468" s="5"/>
    </row>
    <row r="469" spans="17:23" x14ac:dyDescent="0.4">
      <c r="Q469" s="5"/>
      <c r="R469" s="5"/>
      <c r="S469" s="5"/>
      <c r="W469" s="5"/>
    </row>
    <row r="470" spans="17:23" x14ac:dyDescent="0.4">
      <c r="Q470" s="5"/>
      <c r="R470" s="5"/>
      <c r="S470" s="5"/>
      <c r="W470" s="5"/>
    </row>
    <row r="471" spans="17:23" x14ac:dyDescent="0.4">
      <c r="Q471" s="5"/>
      <c r="R471" s="5"/>
      <c r="S471" s="5"/>
      <c r="W471" s="5"/>
    </row>
    <row r="472" spans="17:23" x14ac:dyDescent="0.4">
      <c r="Q472" s="5"/>
      <c r="R472" s="5"/>
      <c r="S472" s="5"/>
      <c r="W472" s="5"/>
    </row>
    <row r="473" spans="17:23" x14ac:dyDescent="0.4">
      <c r="Q473" s="5"/>
      <c r="R473" s="5"/>
      <c r="S473" s="5"/>
      <c r="W473" s="5"/>
    </row>
    <row r="474" spans="17:23" x14ac:dyDescent="0.4">
      <c r="Q474" s="5"/>
      <c r="R474" s="5"/>
      <c r="S474" s="5"/>
      <c r="W474" s="5"/>
    </row>
    <row r="475" spans="17:23" x14ac:dyDescent="0.4">
      <c r="Q475" s="5"/>
      <c r="R475" s="5"/>
      <c r="S475" s="5"/>
      <c r="W475" s="5"/>
    </row>
    <row r="476" spans="17:23" x14ac:dyDescent="0.4">
      <c r="Q476" s="5"/>
      <c r="R476" s="5"/>
      <c r="S476" s="5"/>
      <c r="W476" s="5"/>
    </row>
    <row r="477" spans="17:23" x14ac:dyDescent="0.4">
      <c r="Q477" s="5"/>
      <c r="R477" s="5"/>
      <c r="S477" s="5"/>
      <c r="W477" s="5"/>
    </row>
    <row r="478" spans="17:23" x14ac:dyDescent="0.4">
      <c r="Q478" s="5"/>
      <c r="R478" s="5"/>
      <c r="S478" s="5"/>
      <c r="W478" s="5"/>
    </row>
    <row r="479" spans="17:23" x14ac:dyDescent="0.4">
      <c r="Q479" s="5"/>
      <c r="R479" s="5"/>
      <c r="S479" s="5"/>
      <c r="W479" s="5"/>
    </row>
    <row r="480" spans="17:23" x14ac:dyDescent="0.4">
      <c r="Q480" s="5"/>
      <c r="R480" s="5"/>
      <c r="S480" s="5"/>
      <c r="W480" s="5"/>
    </row>
    <row r="481" spans="17:23" x14ac:dyDescent="0.4">
      <c r="Q481" s="5"/>
      <c r="R481" s="5"/>
      <c r="S481" s="5"/>
      <c r="W481" s="5"/>
    </row>
    <row r="482" spans="17:23" x14ac:dyDescent="0.4">
      <c r="Q482" s="5"/>
      <c r="R482" s="5"/>
      <c r="S482" s="5"/>
      <c r="W482" s="5"/>
    </row>
    <row r="483" spans="17:23" x14ac:dyDescent="0.4">
      <c r="Q483" s="5"/>
      <c r="R483" s="5"/>
      <c r="S483" s="5"/>
      <c r="W483" s="5"/>
    </row>
    <row r="484" spans="17:23" x14ac:dyDescent="0.4">
      <c r="Q484" s="5"/>
      <c r="R484" s="5"/>
      <c r="S484" s="5"/>
      <c r="W484" s="5"/>
    </row>
    <row r="485" spans="17:23" x14ac:dyDescent="0.4">
      <c r="Q485" s="5"/>
      <c r="R485" s="5"/>
      <c r="S485" s="5"/>
      <c r="W485" s="5"/>
    </row>
    <row r="486" spans="17:23" x14ac:dyDescent="0.4">
      <c r="Q486" s="5"/>
      <c r="R486" s="5"/>
      <c r="S486" s="5"/>
      <c r="W486" s="5"/>
    </row>
    <row r="487" spans="17:23" x14ac:dyDescent="0.4">
      <c r="Q487" s="5"/>
      <c r="R487" s="5"/>
      <c r="S487" s="5"/>
      <c r="W487" s="5"/>
    </row>
    <row r="488" spans="17:23" x14ac:dyDescent="0.4">
      <c r="Q488" s="5"/>
      <c r="R488" s="5"/>
      <c r="S488" s="5"/>
      <c r="W488" s="5"/>
    </row>
    <row r="489" spans="17:23" x14ac:dyDescent="0.4">
      <c r="Q489" s="5"/>
      <c r="R489" s="5"/>
      <c r="S489" s="5"/>
      <c r="W489" s="5"/>
    </row>
    <row r="490" spans="17:23" x14ac:dyDescent="0.4">
      <c r="Q490" s="5"/>
      <c r="R490" s="5"/>
      <c r="S490" s="5"/>
      <c r="W490" s="5"/>
    </row>
    <row r="491" spans="17:23" x14ac:dyDescent="0.4">
      <c r="Q491" s="5"/>
      <c r="R491" s="5"/>
      <c r="S491" s="5"/>
      <c r="W491" s="5"/>
    </row>
    <row r="492" spans="17:23" x14ac:dyDescent="0.4">
      <c r="Q492" s="5"/>
      <c r="R492" s="5"/>
      <c r="S492" s="5"/>
      <c r="W492" s="5"/>
    </row>
    <row r="493" spans="17:23" x14ac:dyDescent="0.4">
      <c r="Q493" s="5"/>
      <c r="R493" s="5"/>
      <c r="S493" s="5"/>
      <c r="W493" s="5"/>
    </row>
    <row r="494" spans="17:23" x14ac:dyDescent="0.4">
      <c r="Q494" s="5"/>
      <c r="R494" s="5"/>
      <c r="S494" s="5"/>
      <c r="W494" s="5"/>
    </row>
    <row r="495" spans="17:23" x14ac:dyDescent="0.4">
      <c r="Q495" s="5"/>
      <c r="R495" s="5"/>
      <c r="S495" s="5"/>
      <c r="W495" s="5"/>
    </row>
    <row r="496" spans="17:23" x14ac:dyDescent="0.4">
      <c r="Q496" s="5"/>
      <c r="R496" s="5"/>
      <c r="S496" s="5"/>
      <c r="W496" s="5"/>
    </row>
    <row r="497" spans="17:23" x14ac:dyDescent="0.4">
      <c r="Q497" s="5"/>
      <c r="R497" s="5"/>
      <c r="S497" s="5"/>
      <c r="W497" s="5"/>
    </row>
    <row r="498" spans="17:23" x14ac:dyDescent="0.4">
      <c r="Q498" s="5"/>
      <c r="R498" s="5"/>
      <c r="S498" s="5"/>
      <c r="W498" s="5"/>
    </row>
    <row r="499" spans="17:23" x14ac:dyDescent="0.4">
      <c r="Q499" s="5"/>
      <c r="R499" s="5"/>
      <c r="S499" s="5"/>
      <c r="W499" s="5"/>
    </row>
    <row r="500" spans="17:23" x14ac:dyDescent="0.4">
      <c r="Q500" s="5"/>
      <c r="R500" s="5"/>
      <c r="S500" s="5"/>
      <c r="W500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鲁歆彦</dc:creator>
  <cp:lastModifiedBy>歆彦 鲁</cp:lastModifiedBy>
  <dcterms:created xsi:type="dcterms:W3CDTF">2015-06-05T18:19:34Z</dcterms:created>
  <dcterms:modified xsi:type="dcterms:W3CDTF">2026-09-27T05:38:53Z</dcterms:modified>
</cp:coreProperties>
</file>